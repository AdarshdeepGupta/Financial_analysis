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rshdeep Gupta\Downloads\FM\"/>
    </mc:Choice>
  </mc:AlternateContent>
  <xr:revisionPtr revIDLastSave="0" documentId="13_ncr:1_{68CA7A81-7229-4689-A1A3-F19AC101E33D}" xr6:coauthVersionLast="47" xr6:coauthVersionMax="47" xr10:uidLastSave="{00000000-0000-0000-0000-000000000000}"/>
  <bookViews>
    <workbookView xWindow="-108" yWindow="-108" windowWidth="23256" windowHeight="12456" tabRatio="500" firstSheet="6" activeTab="10" xr2:uid="{00000000-000D-0000-FFFF-FFFF00000000}"/>
  </bookViews>
  <sheets>
    <sheet name="01 Cover" sheetId="1" r:id="rId1"/>
    <sheet name="02 Industry" sheetId="2" r:id="rId2"/>
    <sheet name="03 Competitor" sheetId="3" r:id="rId3"/>
    <sheet name="04 Assumptions" sheetId="4" r:id="rId4"/>
    <sheet name="05 CapEx" sheetId="5" r:id="rId5"/>
    <sheet name="06 Financing" sheetId="6" r:id="rId6"/>
    <sheet name="07 P&amp;L" sheetId="7" r:id="rId7"/>
    <sheet name="08 Balance Sheet" sheetId="8" r:id="rId8"/>
    <sheet name="09 Cash Flow" sheetId="9" r:id="rId9"/>
    <sheet name="10 Cap Budget" sheetId="10" r:id="rId10"/>
    <sheet name="11 Conclusion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8" l="1"/>
  <c r="B27" i="6"/>
  <c r="B15" i="11"/>
  <c r="B14" i="11"/>
  <c r="F12" i="11"/>
  <c r="E12" i="11"/>
  <c r="D12" i="11"/>
  <c r="C12" i="11"/>
  <c r="B12" i="11"/>
  <c r="B15" i="10"/>
  <c r="F27" i="9"/>
  <c r="E27" i="9"/>
  <c r="D27" i="9"/>
  <c r="C27" i="9"/>
  <c r="F25" i="9"/>
  <c r="E25" i="9"/>
  <c r="D25" i="9"/>
  <c r="C25" i="9"/>
  <c r="B25" i="9"/>
  <c r="F17" i="9"/>
  <c r="E17" i="9"/>
  <c r="D17" i="9"/>
  <c r="C17" i="9"/>
  <c r="B17" i="9"/>
  <c r="F29" i="8"/>
  <c r="E29" i="8"/>
  <c r="D29" i="8"/>
  <c r="C29" i="8"/>
  <c r="B29" i="8"/>
  <c r="F25" i="8"/>
  <c r="E25" i="8"/>
  <c r="D25" i="8"/>
  <c r="C25" i="8"/>
  <c r="B25" i="8"/>
  <c r="F13" i="8"/>
  <c r="F16" i="8" s="1"/>
  <c r="E13" i="8"/>
  <c r="E16" i="8" s="1"/>
  <c r="D13" i="8"/>
  <c r="D16" i="8" s="1"/>
  <c r="C13" i="8"/>
  <c r="C16" i="8" s="1"/>
  <c r="B13" i="8"/>
  <c r="B16" i="8" s="1"/>
  <c r="F9" i="8"/>
  <c r="E9" i="8"/>
  <c r="D9" i="8"/>
  <c r="C9" i="8"/>
  <c r="B9" i="8"/>
  <c r="B17" i="8" s="1"/>
  <c r="F26" i="7"/>
  <c r="E26" i="7"/>
  <c r="D26" i="7"/>
  <c r="C26" i="7"/>
  <c r="B26" i="7"/>
  <c r="F16" i="7"/>
  <c r="D16" i="7"/>
  <c r="F15" i="7"/>
  <c r="E15" i="7"/>
  <c r="D15" i="7"/>
  <c r="C15" i="7"/>
  <c r="B15" i="7"/>
  <c r="F14" i="7"/>
  <c r="E14" i="7"/>
  <c r="D14" i="7"/>
  <c r="C14" i="7"/>
  <c r="B14" i="7"/>
  <c r="F13" i="7"/>
  <c r="F17" i="7" s="1"/>
  <c r="E13" i="7"/>
  <c r="D13" i="7"/>
  <c r="D17" i="7" s="1"/>
  <c r="C13" i="7"/>
  <c r="B13" i="7"/>
  <c r="F11" i="7"/>
  <c r="E11" i="7"/>
  <c r="D11" i="7"/>
  <c r="D5" i="11" s="1"/>
  <c r="C11" i="7"/>
  <c r="F9" i="7"/>
  <c r="E9" i="7"/>
  <c r="D9" i="7"/>
  <c r="C9" i="7"/>
  <c r="B9" i="7"/>
  <c r="F8" i="7"/>
  <c r="E8" i="7"/>
  <c r="D8" i="7"/>
  <c r="C8" i="7"/>
  <c r="B8" i="7"/>
  <c r="B11" i="7" s="1"/>
  <c r="F35" i="6"/>
  <c r="E35" i="6"/>
  <c r="D35" i="6"/>
  <c r="C35" i="6"/>
  <c r="B35" i="6"/>
  <c r="F34" i="6"/>
  <c r="E34" i="6"/>
  <c r="D34" i="6"/>
  <c r="C34" i="6"/>
  <c r="B34" i="6"/>
  <c r="F33" i="6"/>
  <c r="E33" i="6"/>
  <c r="D33" i="6"/>
  <c r="C33" i="6"/>
  <c r="B33" i="6"/>
  <c r="F26" i="6"/>
  <c r="E26" i="6"/>
  <c r="D26" i="6"/>
  <c r="C26" i="6"/>
  <c r="B26" i="6"/>
  <c r="B19" i="6"/>
  <c r="C16" i="6" s="1"/>
  <c r="G16" i="6" s="1"/>
  <c r="C18" i="6"/>
  <c r="E17" i="6"/>
  <c r="D17" i="6"/>
  <c r="F17" i="6" s="1"/>
  <c r="C17" i="6"/>
  <c r="D16" i="6"/>
  <c r="F16" i="6" s="1"/>
  <c r="C11" i="6"/>
  <c r="D7" i="6" s="1"/>
  <c r="D10" i="6"/>
  <c r="B39" i="5"/>
  <c r="C31" i="5"/>
  <c r="C33" i="5" s="1"/>
  <c r="B38" i="5" s="1"/>
  <c r="E16" i="5"/>
  <c r="E17" i="5" s="1"/>
  <c r="B37" i="5" s="1"/>
  <c r="H21" i="3"/>
  <c r="G21" i="3"/>
  <c r="F21" i="3"/>
  <c r="E21" i="3"/>
  <c r="D21" i="3"/>
  <c r="C21" i="3"/>
  <c r="D17" i="8" l="1"/>
  <c r="B5" i="11"/>
  <c r="B16" i="7"/>
  <c r="F17" i="8"/>
  <c r="E17" i="8"/>
  <c r="B17" i="7"/>
  <c r="B18" i="7" s="1"/>
  <c r="G17" i="6"/>
  <c r="G19" i="6" s="1"/>
  <c r="B34" i="8"/>
  <c r="C17" i="8"/>
  <c r="C16" i="7"/>
  <c r="C17" i="7" s="1"/>
  <c r="D8" i="6"/>
  <c r="F18" i="7"/>
  <c r="E5" i="11"/>
  <c r="D9" i="6"/>
  <c r="F5" i="11"/>
  <c r="C18" i="7"/>
  <c r="D6" i="6"/>
  <c r="D18" i="7"/>
  <c r="C5" i="11"/>
  <c r="E16" i="7"/>
  <c r="E17" i="7" s="1"/>
  <c r="E18" i="7" s="1"/>
  <c r="D5" i="6"/>
  <c r="E29" i="7" l="1"/>
  <c r="E19" i="7"/>
  <c r="E6" i="11" s="1"/>
  <c r="E27" i="7"/>
  <c r="E36" i="6"/>
  <c r="C36" i="6"/>
  <c r="B36" i="6"/>
  <c r="D36" i="6"/>
  <c r="B14" i="10"/>
  <c r="B16" i="11"/>
  <c r="F36" i="6"/>
  <c r="B27" i="7"/>
  <c r="B29" i="7"/>
  <c r="B19" i="7"/>
  <c r="B6" i="11" s="1"/>
  <c r="D27" i="7"/>
  <c r="D29" i="7"/>
  <c r="D19" i="7"/>
  <c r="D6" i="11" s="1"/>
  <c r="B31" i="6"/>
  <c r="B30" i="6"/>
  <c r="B28" i="6"/>
  <c r="B38" i="6"/>
  <c r="B35" i="8"/>
  <c r="B36" i="8" s="1"/>
  <c r="C27" i="7"/>
  <c r="C29" i="7"/>
  <c r="C19" i="7"/>
  <c r="C6" i="11" s="1"/>
  <c r="E33" i="8"/>
  <c r="E34" i="8" s="1"/>
  <c r="F33" i="8"/>
  <c r="F34" i="8" s="1"/>
  <c r="F27" i="7"/>
  <c r="F29" i="7"/>
  <c r="F19" i="7"/>
  <c r="F6" i="11" s="1"/>
  <c r="C33" i="8"/>
  <c r="C34" i="8" s="1"/>
  <c r="D33" i="8"/>
  <c r="D34" i="8" s="1"/>
  <c r="D31" i="7" l="1"/>
  <c r="D5" i="10"/>
  <c r="D39" i="6"/>
  <c r="D31" i="6"/>
  <c r="D38" i="6"/>
  <c r="D27" i="6"/>
  <c r="D30" i="6"/>
  <c r="D28" i="6"/>
  <c r="D35" i="8"/>
  <c r="D36" i="8" s="1"/>
  <c r="F38" i="6"/>
  <c r="F27" i="6"/>
  <c r="F28" i="6"/>
  <c r="F31" i="6"/>
  <c r="F30" i="6"/>
  <c r="F35" i="8"/>
  <c r="F36" i="8" s="1"/>
  <c r="F5" i="10"/>
  <c r="F31" i="7"/>
  <c r="F39" i="6"/>
  <c r="C31" i="6"/>
  <c r="C38" i="6"/>
  <c r="C27" i="6"/>
  <c r="C30" i="6"/>
  <c r="C28" i="6"/>
  <c r="C35" i="8"/>
  <c r="C36" i="8" s="1"/>
  <c r="B7" i="11"/>
  <c r="B40" i="6"/>
  <c r="B28" i="7"/>
  <c r="B8" i="11" s="1"/>
  <c r="E31" i="6"/>
  <c r="E30" i="6"/>
  <c r="E28" i="6"/>
  <c r="E38" i="6"/>
  <c r="E27" i="6"/>
  <c r="E35" i="8"/>
  <c r="E36" i="8" s="1"/>
  <c r="D7" i="11"/>
  <c r="D40" i="6"/>
  <c r="D28" i="7"/>
  <c r="D8" i="11" s="1"/>
  <c r="B5" i="10"/>
  <c r="B31" i="7"/>
  <c r="B39" i="6"/>
  <c r="F7" i="11"/>
  <c r="F40" i="6"/>
  <c r="F28" i="7"/>
  <c r="F8" i="11" s="1"/>
  <c r="D22" i="10"/>
  <c r="C22" i="10"/>
  <c r="F22" i="10"/>
  <c r="E22" i="10"/>
  <c r="B22" i="10"/>
  <c r="C5" i="10"/>
  <c r="C31" i="7"/>
  <c r="C39" i="6"/>
  <c r="C40" i="6"/>
  <c r="C7" i="11"/>
  <c r="C28" i="7"/>
  <c r="C8" i="11" s="1"/>
  <c r="E7" i="11"/>
  <c r="E40" i="6"/>
  <c r="E28" i="7"/>
  <c r="E8" i="11" s="1"/>
  <c r="E31" i="7"/>
  <c r="E5" i="10"/>
  <c r="E39" i="6"/>
  <c r="F6" i="10" l="1"/>
  <c r="F7" i="10"/>
  <c r="F11" i="10" s="1"/>
  <c r="B32" i="7"/>
  <c r="B33" i="7" s="1"/>
  <c r="E33" i="7"/>
  <c r="E32" i="7"/>
  <c r="E6" i="10"/>
  <c r="E7" i="10"/>
  <c r="E11" i="10" s="1"/>
  <c r="E19" i="10" s="1"/>
  <c r="E21" i="10" s="1"/>
  <c r="E23" i="10" s="1"/>
  <c r="C6" i="10"/>
  <c r="C7" i="10"/>
  <c r="C11" i="10" s="1"/>
  <c r="C19" i="10" s="1"/>
  <c r="C21" i="10" s="1"/>
  <c r="C23" i="10" s="1"/>
  <c r="C32" i="7"/>
  <c r="C33" i="7" s="1"/>
  <c r="F32" i="7"/>
  <c r="F33" i="7" s="1"/>
  <c r="D6" i="10"/>
  <c r="D7" i="10"/>
  <c r="D11" i="10" s="1"/>
  <c r="D19" i="10" s="1"/>
  <c r="D21" i="10" s="1"/>
  <c r="D23" i="10" s="1"/>
  <c r="B6" i="10"/>
  <c r="B7" i="10"/>
  <c r="B11" i="10" s="1"/>
  <c r="B19" i="10" s="1"/>
  <c r="B21" i="10" s="1"/>
  <c r="B23" i="10" s="1"/>
  <c r="D32" i="7"/>
  <c r="D33" i="7"/>
  <c r="C9" i="11" l="1"/>
  <c r="C4" i="9"/>
  <c r="C12" i="9" s="1"/>
  <c r="C26" i="9" s="1"/>
  <c r="C28" i="9" s="1"/>
  <c r="C11" i="11" s="1"/>
  <c r="C34" i="7"/>
  <c r="C10" i="11" s="1"/>
  <c r="F9" i="11"/>
  <c r="F4" i="9"/>
  <c r="F12" i="9" s="1"/>
  <c r="F26" i="9" s="1"/>
  <c r="F28" i="9" s="1"/>
  <c r="F11" i="11" s="1"/>
  <c r="F34" i="7"/>
  <c r="F10" i="11" s="1"/>
  <c r="B9" i="11"/>
  <c r="B4" i="9"/>
  <c r="B12" i="9" s="1"/>
  <c r="B26" i="9" s="1"/>
  <c r="B28" i="9" s="1"/>
  <c r="B11" i="11" s="1"/>
  <c r="B34" i="7"/>
  <c r="B10" i="11" s="1"/>
  <c r="D9" i="11"/>
  <c r="D4" i="9"/>
  <c r="D12" i="9" s="1"/>
  <c r="D26" i="9" s="1"/>
  <c r="D28" i="9" s="1"/>
  <c r="D11" i="11" s="1"/>
  <c r="D34" i="7"/>
  <c r="D10" i="11" s="1"/>
  <c r="E4" i="9"/>
  <c r="E12" i="9" s="1"/>
  <c r="E26" i="9" s="1"/>
  <c r="E28" i="9" s="1"/>
  <c r="E11" i="11" s="1"/>
  <c r="E9" i="11"/>
  <c r="E34" i="7"/>
  <c r="E10" i="11" s="1"/>
  <c r="F19" i="10"/>
  <c r="B16" i="10"/>
  <c r="F20" i="10" s="1"/>
  <c r="F21" i="10" l="1"/>
  <c r="F23" i="10" s="1"/>
  <c r="B24" i="10" s="1"/>
  <c r="B28" i="10" s="1"/>
  <c r="B31" i="10" l="1"/>
  <c r="B13" i="11"/>
</calcChain>
</file>

<file path=xl/sharedStrings.xml><?xml version="1.0" encoding="utf-8"?>
<sst xmlns="http://schemas.openxmlformats.org/spreadsheetml/2006/main" count="671" uniqueCount="549">
  <si>
    <t>FOLDABLE ELECTRIC SCOOTER CHARGING DOCK FOR APARTMENTS</t>
  </si>
  <si>
    <t>Financial Management Project  |  Start-up Business Plan</t>
  </si>
  <si>
    <t>Company Name</t>
  </si>
  <si>
    <t>ScootCharge Solutions Pvt. Ltd.</t>
  </si>
  <si>
    <t>Sector</t>
  </si>
  <si>
    <t>Clean-Tech / Urban Mobility Infrastructure</t>
  </si>
  <si>
    <t>Stage</t>
  </si>
  <si>
    <t>Pre-Revenue Start-up  (Year 0 → Year 5)</t>
  </si>
  <si>
    <t>Base Currency</t>
  </si>
  <si>
    <t>Indian Rupees (₹)  –  amounts in ₹ Lakhs unless stated</t>
  </si>
  <si>
    <t>Prepared By</t>
  </si>
  <si>
    <t>WORKBOOK NAVIGATION</t>
  </si>
  <si>
    <t>Sheet Name</t>
  </si>
  <si>
    <t>Contents</t>
  </si>
  <si>
    <t>01 Cover</t>
  </si>
  <si>
    <t>Introduction, company overview, document index</t>
  </si>
  <si>
    <t>02 Industry</t>
  </si>
  <si>
    <t>Industry &amp; sectoral analysis, market need, TAM/SAM/SOM</t>
  </si>
  <si>
    <t>03 Competitor</t>
  </si>
  <si>
    <t>Competitor benchmarking, SWOT matrix</t>
  </si>
  <si>
    <t>04 Assumptions</t>
  </si>
  <si>
    <t>All input assumptions (blue cells) – master control sheet</t>
  </si>
  <si>
    <t>05 CapEx</t>
  </si>
  <si>
    <t>Capital requirements – short-term &amp; long-term</t>
  </si>
  <si>
    <t>06 Financing</t>
  </si>
  <si>
    <t>Sources of finance, capital structure, WACC</t>
  </si>
  <si>
    <t>07 P&amp;L</t>
  </si>
  <si>
    <t>5-Year projected Income Statement</t>
  </si>
  <si>
    <t>08 Balance Sheet</t>
  </si>
  <si>
    <t>5-Year projected Balance Sheet</t>
  </si>
  <si>
    <t>09 Cash Flow</t>
  </si>
  <si>
    <t>5-Year projected Cash Flow Statement</t>
  </si>
  <si>
    <t>10 Cap Budget</t>
  </si>
  <si>
    <t>NPV, IRR, Payback, Sensitivity analysis</t>
  </si>
  <si>
    <t>11 Conclusion</t>
  </si>
  <si>
    <t>Summary KPIs, investment highlights</t>
  </si>
  <si>
    <t>INDUSTRY &amp; SECTORAL ANALYSIS</t>
  </si>
  <si>
    <t>2.1  PROBLEM STATEMENT &amp; MARKET NEED</t>
  </si>
  <si>
    <t>• Electric scooter ownership in urban India is growing at ~28% CAGR (2023-2028), yet 80% of apartments lack dedicated EV charging infrastructure.</t>
  </si>
  <si>
    <t>• Apartment residents rely on long extension cords, common area sockets, or public stations — all unsafe, inconvenient, and theft-prone.</t>
  </si>
  <si>
    <t>• Government FAME-II policy mandates EV-ready buildings, creating a regulatory tailwind for residential charging solutions.</t>
  </si>
  <si>
    <t>• ScootCharge addresses this gap: a foldable, lockable, smart charging dock designed specifically for apartment balconies and parking bays.</t>
  </si>
  <si>
    <t>2.2  MARKET SIZING  (₹ Crores)</t>
  </si>
  <si>
    <t>Segment</t>
  </si>
  <si>
    <t>Definition</t>
  </si>
  <si>
    <t>FY 2024</t>
  </si>
  <si>
    <t>FY 2026E</t>
  </si>
  <si>
    <t>FY 2028E</t>
  </si>
  <si>
    <t>CAGR</t>
  </si>
  <si>
    <t>Basis</t>
  </si>
  <si>
    <t>TAM – Total Addressable Market</t>
  </si>
  <si>
    <t>All EV 2-wheeler owners in India needing home charging</t>
  </si>
  <si>
    <t>₹ 4,200</t>
  </si>
  <si>
    <t>₹ 6,800</t>
  </si>
  <si>
    <t>₹ 11,200</t>
  </si>
  <si>
    <t>26%</t>
  </si>
  <si>
    <t>SMEV + NITI Aayog estimates</t>
  </si>
  <si>
    <t>SAM – Serviceable Addressable Market</t>
  </si>
  <si>
    <t>Apartment-dwelling EV 2-wheeler owners in Tier-1 cities</t>
  </si>
  <si>
    <t>₹ 840</t>
  </si>
  <si>
    <t>₹ 1,560</t>
  </si>
  <si>
    <t>₹ 2,900</t>
  </si>
  <si>
    <t>28%</t>
  </si>
  <si>
    <t>Urban housing census data</t>
  </si>
  <si>
    <t>SOM – Serviceable Obtainable Market</t>
  </si>
  <si>
    <t>ScootCharge realistic capture (3-5% SAM)</t>
  </si>
  <si>
    <t>₹ 25</t>
  </si>
  <si>
    <t>₹ 62</t>
  </si>
  <si>
    <t>₹ 145</t>
  </si>
  <si>
    <t>35%</t>
  </si>
  <si>
    <t>Bottom-up sales model</t>
  </si>
  <si>
    <t>2.3  KEY INDUSTRY TRENDS</t>
  </si>
  <si>
    <t>Regulatory</t>
  </si>
  <si>
    <t>FAME-II subsidy ₹10,000 Cr; building codes mandating EV parking in new residential projects</t>
  </si>
  <si>
    <t>Technology</t>
  </si>
  <si>
    <t>IoT-enabled smart docks with mobile app, energy monitoring, OTA updates</t>
  </si>
  <si>
    <t>Consumer</t>
  </si>
  <si>
    <t>Rising fuel costs (+22% since 2022) accelerating EV adoption among urban millennials</t>
  </si>
  <si>
    <t>Competitive</t>
  </si>
  <si>
    <t>No dominant player in apartment-specific foldable dock segment — white-space opportunity</t>
  </si>
  <si>
    <t>Financial</t>
  </si>
  <si>
    <t>VC funding in EV infrastructure up 3× YoY; SIDBI and NABARD green-finance schemes available</t>
  </si>
  <si>
    <t>COMPETITOR ANALYSIS</t>
  </si>
  <si>
    <t>3.1  COMPETITIVE LANDSCAPE</t>
  </si>
  <si>
    <t>Company / Product</t>
  </si>
  <si>
    <t>Price (₹)</t>
  </si>
  <si>
    <t>Smart App</t>
  </si>
  <si>
    <t>Foldable</t>
  </si>
  <si>
    <t>Apt-Specific</t>
  </si>
  <si>
    <t>Strength</t>
  </si>
  <si>
    <t>Weakness</t>
  </si>
  <si>
    <t>ScootCharge Dock
(Our Product)</t>
  </si>
  <si>
    <t>Apartment Foldable</t>
  </si>
  <si>
    <t>3,499–4,999</t>
  </si>
  <si>
    <t>Yes</t>
  </si>
  <si>
    <t>Only apt-specific foldable; IoT; compact</t>
  </si>
  <si>
    <t>New brand; limited distribution</t>
  </si>
  <si>
    <t>Ather Grid</t>
  </si>
  <si>
    <t>Public Station</t>
  </si>
  <si>
    <t>N/A (sub)</t>
  </si>
  <si>
    <t>No</t>
  </si>
  <si>
    <t>Strong brand; Ather ecosystem</t>
  </si>
  <si>
    <t>Not home/apartment focused</t>
  </si>
  <si>
    <t>Lectrix Charge</t>
  </si>
  <si>
    <t>Home Wall Charger</t>
  </si>
  <si>
    <t>5,999–8,999</t>
  </si>
  <si>
    <t>Established brand; reliable hardware</t>
  </si>
  <si>
    <t>Bulky; needs dedicated wall space</t>
  </si>
  <si>
    <t>AmpereVolt HomeCharge</t>
  </si>
  <si>
    <t>4,500–6,500</t>
  </si>
  <si>
    <t>Limited</t>
  </si>
  <si>
    <t>Lower price point</t>
  </si>
  <si>
    <t>No app; no foldable option</t>
  </si>
  <si>
    <t>Generic Chinese OEM Docks</t>
  </si>
  <si>
    <t>Generic</t>
  </si>
  <si>
    <t>1,200–2,500</t>
  </si>
  <si>
    <t>Some</t>
  </si>
  <si>
    <t>Very low price</t>
  </si>
  <si>
    <t>No safety cert; no warranty; unreliable</t>
  </si>
  <si>
    <t>Tata Power EZ Home</t>
  </si>
  <si>
    <t>Home Wall AC</t>
  </si>
  <si>
    <t>7,000–12,000</t>
  </si>
  <si>
    <t>Tata brand trust; national service</t>
  </si>
  <si>
    <t>Premium pricing; apartment unfriendly</t>
  </si>
  <si>
    <t>3.2  COMPETITIVE SCORING MATRIX  (1 = Low, 5 = High)</t>
  </si>
  <si>
    <t>Criteria</t>
  </si>
  <si>
    <t>Weight</t>
  </si>
  <si>
    <t>ScootCharge</t>
  </si>
  <si>
    <t>Lectrix</t>
  </si>
  <si>
    <t>AmpereVolt</t>
  </si>
  <si>
    <t>Chinese OEM</t>
  </si>
  <si>
    <t>Tata Power EZ</t>
  </si>
  <si>
    <t>Price Value</t>
  </si>
  <si>
    <t>Smart Features</t>
  </si>
  <si>
    <t>Portability</t>
  </si>
  <si>
    <t>Safety Certs</t>
  </si>
  <si>
    <t>Apt Suitability</t>
  </si>
  <si>
    <t>Brand Trust</t>
  </si>
  <si>
    <t>After-Sales</t>
  </si>
  <si>
    <t>WEIGHTED SCORE</t>
  </si>
  <si>
    <t>-</t>
  </si>
  <si>
    <t>MASTER ASSUMPTIONS SHEET  (Blue = Input Cells)</t>
  </si>
  <si>
    <t>Change blue cells to run scenarios. All other sheets pull from here.</t>
  </si>
  <si>
    <t>A. PRODUCT &amp; PRICING</t>
  </si>
  <si>
    <t>ASP – B2C Dock (₹)</t>
  </si>
  <si>
    <t>₹</t>
  </si>
  <si>
    <t>Average selling price per unit, B2C channel</t>
  </si>
  <si>
    <t>ASP – B2B Dock (₹)</t>
  </si>
  <si>
    <t>Bulk price to housing societies (10+ units)</t>
  </si>
  <si>
    <t>ASP – Smart Subscription (₹/yr)</t>
  </si>
  <si>
    <t>Annual IoT app subscription per user</t>
  </si>
  <si>
    <t>COGS per unit – Material (₹)</t>
  </si>
  <si>
    <t>BOM: PCB, plastics, cable, packaging</t>
  </si>
  <si>
    <t>COGS per unit – Labour (₹)</t>
  </si>
  <si>
    <t>Assembly + QC per unit</t>
  </si>
  <si>
    <t>COGS per unit – Logistics (₹)</t>
  </si>
  <si>
    <t>Last-mile delivery cost per unit</t>
  </si>
  <si>
    <t>Warranty provision (% of revenue)</t>
  </si>
  <si>
    <t>%</t>
  </si>
  <si>
    <t>Accrual for warranty claims</t>
  </si>
  <si>
    <t>B. SALES VOLUME (Units)</t>
  </si>
  <si>
    <t>FY1</t>
  </si>
  <si>
    <t>FY2</t>
  </si>
  <si>
    <t>FY3</t>
  </si>
  <si>
    <t>FY4</t>
  </si>
  <si>
    <t>FY5</t>
  </si>
  <si>
    <t>B2C Units Sold</t>
  </si>
  <si>
    <t>Source: Bottom-up sales model + industry CAGR 28%</t>
  </si>
  <si>
    <t>B2B Units Sold</t>
  </si>
  <si>
    <t>Subscription Renewals</t>
  </si>
  <si>
    <t>B2C Price Growth (YoY %)</t>
  </si>
  <si>
    <t>B2B Price Growth (YoY %)</t>
  </si>
  <si>
    <t>C. OPERATING EXPENSES (₹ Lakhs / Year)</t>
  </si>
  <si>
    <t>Salaries &amp; Benefits – Year 1 (₹L)</t>
  </si>
  <si>
    <t>₹L</t>
  </si>
  <si>
    <t>4 founders + 3 staff</t>
  </si>
  <si>
    <t>Salaries Growth (% pa)</t>
  </si>
  <si>
    <t>Annual increment</t>
  </si>
  <si>
    <t>Marketing &amp; Brand – Year 1 (₹L)</t>
  </si>
  <si>
    <t>Digital + BTL + exhibitions</t>
  </si>
  <si>
    <t>Marketing Growth (% pa)</t>
  </si>
  <si>
    <t>Scales with revenue</t>
  </si>
  <si>
    <t>R&amp;D / Product Dev – Year 1 (₹L)</t>
  </si>
  <si>
    <t>Next-gen dock v2.0</t>
  </si>
  <si>
    <t>G&amp;A Overheads – Year 1 (₹L)</t>
  </si>
  <si>
    <t>Rent, utilities, insurance</t>
  </si>
  <si>
    <t>G&amp;A Growth (% pa)</t>
  </si>
  <si>
    <t>Near-inflation escalation</t>
  </si>
  <si>
    <t>Depreciation – Plant (years)</t>
  </si>
  <si>
    <t>Yrs</t>
  </si>
  <si>
    <t>SLM on plant &amp; machinery</t>
  </si>
  <si>
    <t>Depreciation – Furniture/IT (years)</t>
  </si>
  <si>
    <t>SLM</t>
  </si>
  <si>
    <t>Amortisation – Intangibles (years)</t>
  </si>
  <si>
    <t>Patent + software</t>
  </si>
  <si>
    <t>D. TAX, DISCOUNT &amp; MACRO</t>
  </si>
  <si>
    <t>Corporate Tax Rate</t>
  </si>
  <si>
    <t>India flat-rate Startup scheme</t>
  </si>
  <si>
    <t>GST Rate – Hardware</t>
  </si>
  <si>
    <t>EV chargers at 18% GST</t>
  </si>
  <si>
    <t>GST Rate – Subscription</t>
  </si>
  <si>
    <t>Software services</t>
  </si>
  <si>
    <t>Inflation / Cost Escalation</t>
  </si>
  <si>
    <t>RBI target band</t>
  </si>
  <si>
    <t>Risk-Free Rate (Rf)</t>
  </si>
  <si>
    <t>10-yr Indian G-Sec yield</t>
  </si>
  <si>
    <t>Market Risk Premium (Rm-Rf)</t>
  </si>
  <si>
    <t>Damodaran India ERP</t>
  </si>
  <si>
    <t>Beta (Levered)</t>
  </si>
  <si>
    <t>x</t>
  </si>
  <si>
    <t>Tech-hardware startup proxy</t>
  </si>
  <si>
    <t>Cost of Debt (pre-tax)</t>
  </si>
  <si>
    <t>SIDBI/bank term loan rate</t>
  </si>
  <si>
    <t>Terminal Growth Rate</t>
  </si>
  <si>
    <t>Conservative long-run growth</t>
  </si>
  <si>
    <t>CAPITAL REQUIREMENTS  (₹ Lakhs)</t>
  </si>
  <si>
    <t>5.1  SHORT-TERM CAPITAL REQUIREMENTS (Year 0 – Pre-launch)</t>
  </si>
  <si>
    <t>Item</t>
  </si>
  <si>
    <t>Category</t>
  </si>
  <si>
    <t>Qty</t>
  </si>
  <si>
    <t>Unit Cost (₹)</t>
  </si>
  <si>
    <t>Total (₹L)</t>
  </si>
  <si>
    <t>Useful Life</t>
  </si>
  <si>
    <t>Notes</t>
  </si>
  <si>
    <t>Product Design &amp; CAD</t>
  </si>
  <si>
    <t>Intangible</t>
  </si>
  <si>
    <t>5 yrs</t>
  </si>
  <si>
    <t>Industrial design + mould design</t>
  </si>
  <si>
    <t>Patent Filing (India + PCT)</t>
  </si>
  <si>
    <t>10 yrs</t>
  </si>
  <si>
    <t>IP protection</t>
  </si>
  <si>
    <t>Prototype Development</t>
  </si>
  <si>
    <t>–</t>
  </si>
  <si>
    <t>5 working prototypes</t>
  </si>
  <si>
    <t>PCB + Electronics tooling</t>
  </si>
  <si>
    <t>Plant</t>
  </si>
  <si>
    <t>Injection mould tooling</t>
  </si>
  <si>
    <t>Test &amp; Certification (BIS/CE)</t>
  </si>
  <si>
    <t>3 yrs</t>
  </si>
  <si>
    <t>Mandatory certifications</t>
  </si>
  <si>
    <t>ERP + Accounting Software</t>
  </si>
  <si>
    <t>Zoho Books + Inventory</t>
  </si>
  <si>
    <t>Website + App MVP</t>
  </si>
  <si>
    <t>IoT app + e-commerce site</t>
  </si>
  <si>
    <t>Office Setup (leasehold)</t>
  </si>
  <si>
    <t>Furniture</t>
  </si>
  <si>
    <t>Workstations, AC, fixtures</t>
  </si>
  <si>
    <t>Initial Inventory (500 units)</t>
  </si>
  <si>
    <t>Working Cap</t>
  </si>
  <si>
    <t>COGS/unit × 500 buffer stock</t>
  </si>
  <si>
    <t>Working Capital Buffer</t>
  </si>
  <si>
    <t>3 months operating expenses</t>
  </si>
  <si>
    <t>Pre-launch Marketing</t>
  </si>
  <si>
    <t>Revenue</t>
  </si>
  <si>
    <t>Digital, exhibitions, PR</t>
  </si>
  <si>
    <t>Contingency (10%)</t>
  </si>
  <si>
    <t>Contingency</t>
  </si>
  <si>
    <t>10% contingency on all items above</t>
  </si>
  <si>
    <t>TOTAL SHORT-TERM CAPEX</t>
  </si>
  <si>
    <t>Pre-launch + Y1 working capital</t>
  </si>
  <si>
    <t>5.2  LONG-TERM CAPITAL REQUIREMENTS (Year 2–5 Expansion)</t>
  </si>
  <si>
    <t>Year</t>
  </si>
  <si>
    <t>₹ Lakhs</t>
  </si>
  <si>
    <t>Purpose</t>
  </si>
  <si>
    <t>Assembly Line Upgrade (semi-auto)</t>
  </si>
  <si>
    <t>Year 2</t>
  </si>
  <si>
    <t>Scale to 5,000 units/yr capacity</t>
  </si>
  <si>
    <t>Warehouse Lease Deposit</t>
  </si>
  <si>
    <t>5,000 sq ft Mumbai / Pune warehouse</t>
  </si>
  <si>
    <t>Fleet of Delivery Vehicles (2)</t>
  </si>
  <si>
    <t>B2B installation van</t>
  </si>
  <si>
    <t>Second-Gen Product Tooling</t>
  </si>
  <si>
    <t>Year 3</t>
  </si>
  <si>
    <t>Dock v2.0 – fast-charge + solar</t>
  </si>
  <si>
    <t>CRM &amp; Business Analytics Suite</t>
  </si>
  <si>
    <t>Salesforce + Power BI</t>
  </si>
  <si>
    <t>Expansion to 5 cities – Marketing</t>
  </si>
  <si>
    <t>Bangalore, Hyderabad, Chennai, Pune, Delhi</t>
  </si>
  <si>
    <t>New Mould (3 SKU variants)</t>
  </si>
  <si>
    <t>Year 4</t>
  </si>
  <si>
    <t>Premium / Standard / Budget SKUs</t>
  </si>
  <si>
    <t>Export Market Setup (SEA)</t>
  </si>
  <si>
    <t>Singapore / Malaysia pilot</t>
  </si>
  <si>
    <t>Automated Assembly Plant</t>
  </si>
  <si>
    <t>Year 5</t>
  </si>
  <si>
    <t>10,000+ units/yr; reduce COGS 15%</t>
  </si>
  <si>
    <t>10% of above</t>
  </si>
  <si>
    <t>TOTAL LONG-TERM CAPEX</t>
  </si>
  <si>
    <t>5.3  TOTAL CAPITAL REQUIREMENT SUMMARY</t>
  </si>
  <si>
    <t>Short-Term CapEx (Pre-launch + Y1)</t>
  </si>
  <si>
    <t>Long-Term CapEx (Y2–Y5)</t>
  </si>
  <si>
    <t>GRAND TOTAL CAPITAL REQUIRED</t>
  </si>
  <si>
    <t>SOURCES OF FINANCE, CAPITAL STRUCTURE &amp; COST OF CAPITAL</t>
  </si>
  <si>
    <t>6.1  SOURCES OF FINANCE</t>
  </si>
  <si>
    <t>Source</t>
  </si>
  <si>
    <t>Type</t>
  </si>
  <si>
    <t>Amount (₹L)</t>
  </si>
  <si>
    <t>% of Total</t>
  </si>
  <si>
    <t>Interest/Return</t>
  </si>
  <si>
    <t>Tenure</t>
  </si>
  <si>
    <t>Founder Equity</t>
  </si>
  <si>
    <t>Equity</t>
  </si>
  <si>
    <t>N/A</t>
  </si>
  <si>
    <t>Perpetual</t>
  </si>
  <si>
    <t>4 co-founders × ₹4.5L each</t>
  </si>
  <si>
    <t>Angel / Friends &amp; Family Round</t>
  </si>
  <si>
    <t>~30% IRR</t>
  </si>
  <si>
    <t>Y3–Y5 exit</t>
  </si>
  <si>
    <t>Convertible note option</t>
  </si>
  <si>
    <t>SIDBI CGTMSE Loan</t>
  </si>
  <si>
    <t>Debt</t>
  </si>
  <si>
    <t>11.5%</t>
  </si>
  <si>
    <t>7 years</t>
  </si>
  <si>
    <t>Collateral-free for startups</t>
  </si>
  <si>
    <t>State Startup Grant (DPIIT)</t>
  </si>
  <si>
    <t>Grant</t>
  </si>
  <si>
    <t>0%</t>
  </si>
  <si>
    <t>One-time</t>
  </si>
  <si>
    <t>Non-refundable seed grant</t>
  </si>
  <si>
    <t>Bank OD / Working Capital Line</t>
  </si>
  <si>
    <t>13.5%</t>
  </si>
  <si>
    <t>Revolving</t>
  </si>
  <si>
    <t>HDFC / SBI CC limit</t>
  </si>
  <si>
    <t>Retained Earnings (Y2 onward)</t>
  </si>
  <si>
    <t>Internal</t>
  </si>
  <si>
    <t>Ongoing</t>
  </si>
  <si>
    <t>Re-invested from Year 2 profits</t>
  </si>
  <si>
    <t>TOTAL FUNDING</t>
  </si>
  <si>
    <t>6.2  CAPITAL STRUCTURE &amp; WACC CALCULATION</t>
  </si>
  <si>
    <t>Component</t>
  </si>
  <si>
    <t>Cost (pre-tax)</t>
  </si>
  <si>
    <t>Tax Shield</t>
  </si>
  <si>
    <t>After-tax Cost</t>
  </si>
  <si>
    <t>Weighted Cost</t>
  </si>
  <si>
    <t>Equity (Founders + Angel)</t>
  </si>
  <si>
    <t>Debt (SIDBI Loan + OD Line)</t>
  </si>
  <si>
    <t>Grant (Non-repayable – treated as equity)</t>
  </si>
  <si>
    <t>0.0%</t>
  </si>
  <si>
    <t>TOTAL / WACC</t>
  </si>
  <si>
    <t>100.0%</t>
  </si>
  <si>
    <t>WACC ▶</t>
  </si>
  <si>
    <t>6.3  LEVERAGE RATIOS</t>
  </si>
  <si>
    <t>Metric</t>
  </si>
  <si>
    <t>FY2026 (Y1)</t>
  </si>
  <si>
    <t>FY2027 (Y2)</t>
  </si>
  <si>
    <t>FY2028 (Y3)</t>
  </si>
  <si>
    <t>FY2029 (Y4)</t>
  </si>
  <si>
    <t>FY2030 (Y5)</t>
  </si>
  <si>
    <t>Benchmark</t>
  </si>
  <si>
    <t>CAPITAL MIX  (₹ Lakhs)</t>
  </si>
  <si>
    <t>Total Debt</t>
  </si>
  <si>
    <t>Total Equity</t>
  </si>
  <si>
    <t>Total Capital Employed</t>
  </si>
  <si>
    <t>CAPITAL WEIGHTS</t>
  </si>
  <si>
    <t>Weight of Debt (Wd)</t>
  </si>
  <si>
    <t>Weight of Equity (We)</t>
  </si>
  <si>
    <t>COST OF CAPITAL</t>
  </si>
  <si>
    <t>Cost of Equity — Ke (CAPM)</t>
  </si>
  <si>
    <t>~20%</t>
  </si>
  <si>
    <t>Cost of Debt — Kd (Pre-Tax)</t>
  </si>
  <si>
    <t>12.0%</t>
  </si>
  <si>
    <t>After-Tax Cost of Debt  Kd(1–T)</t>
  </si>
  <si>
    <t>WACC (Weighted Average)</t>
  </si>
  <si>
    <t>~14–16%</t>
  </si>
  <si>
    <t>LEVERAGE RATIOS</t>
  </si>
  <si>
    <t>Debt-to-Equity Ratio (D/E)</t>
  </si>
  <si>
    <t>&lt; 1.0x</t>
  </si>
  <si>
    <t>Interest Coverage (EBIT/Interest)</t>
  </si>
  <si>
    <t>&gt; 2.0x</t>
  </si>
  <si>
    <t>Net Debt / EBITDA</t>
  </si>
  <si>
    <t>&lt; 3.0x</t>
  </si>
  <si>
    <t>Note: Total Debt = Short-term OD + SIDBI Term Loan. Net Debt = Total Debt – Cash &amp; Bank. Ke via CAPM; Kd from 04 Assumptions. All values derived from 04 Assumptions, 07 P&amp;L and 08 Balance Sheet.</t>
  </si>
  <si>
    <t>PROJECTED INCOME STATEMENT  (₹ Lakhs)  |  FY2026 – FY2030</t>
  </si>
  <si>
    <t>Line Item</t>
  </si>
  <si>
    <t>REVENUE</t>
  </si>
  <si>
    <t xml:space="preserve">    B2C Units</t>
  </si>
  <si>
    <t xml:space="preserve">    B2B Units</t>
  </si>
  <si>
    <t xml:space="preserve">    B2C ASP (₹)</t>
  </si>
  <si>
    <t xml:space="preserve">    B2B ASP (₹)</t>
  </si>
  <si>
    <t xml:space="preserve">    B2C Revenue</t>
  </si>
  <si>
    <t xml:space="preserve">    B2B Revenue</t>
  </si>
  <si>
    <t xml:space="preserve">    Subscription Revenue</t>
  </si>
  <si>
    <t>GROSS REVENUE</t>
  </si>
  <si>
    <t>COST OF GOODS SOLD</t>
  </si>
  <si>
    <t xml:space="preserve">    Material Cost</t>
  </si>
  <si>
    <t xml:space="preserve">    Labour Cost</t>
  </si>
  <si>
    <t xml:space="preserve">    Logistics Cost</t>
  </si>
  <si>
    <t xml:space="preserve">    Warranty Provision</t>
  </si>
  <si>
    <t>TOTAL COGS</t>
  </si>
  <si>
    <t>GROSS PROFIT</t>
  </si>
  <si>
    <t>Gross Margin %</t>
  </si>
  <si>
    <t>OPERATING EXPENSES</t>
  </si>
  <si>
    <t xml:space="preserve">    Salaries &amp; Benefits</t>
  </si>
  <si>
    <t xml:space="preserve">    Marketing &amp; Brand</t>
  </si>
  <si>
    <t xml:space="preserve">    R&amp;D / Product Development</t>
  </si>
  <si>
    <t xml:space="preserve">    G&amp;A / Overheads</t>
  </si>
  <si>
    <t xml:space="preserve">    Depreciation &amp; Amortisation</t>
  </si>
  <si>
    <t>TOTAL OPEX</t>
  </si>
  <si>
    <t>EBITDA</t>
  </si>
  <si>
    <t>EBITDA Margin %</t>
  </si>
  <si>
    <t>EBIT (Operating Profit)</t>
  </si>
  <si>
    <t xml:space="preserve">    Interest Expense</t>
  </si>
  <si>
    <t>EBT (Profit Before Tax)</t>
  </si>
  <si>
    <t xml:space="preserve">    Tax (25%)</t>
  </si>
  <si>
    <t>NET PROFIT AFTER TAX (PAT)</t>
  </si>
  <si>
    <t>PAT Margin %</t>
  </si>
  <si>
    <t>PROJECTED BALANCE SHEET  (₹ Lakhs)  |  FY2026 – FY2030</t>
  </si>
  <si>
    <t>ASSETS</t>
  </si>
  <si>
    <t>Current Assets</t>
  </si>
  <si>
    <t xml:space="preserve">    Cash &amp; Bank</t>
  </si>
  <si>
    <t xml:space="preserve">    Accounts Receivable</t>
  </si>
  <si>
    <t xml:space="preserve">    Inventory</t>
  </si>
  <si>
    <t xml:space="preserve">    Prepaid &amp; Other CA</t>
  </si>
  <si>
    <t>TOTAL CURRENT ASSETS</t>
  </si>
  <si>
    <t>Non-Current Assets</t>
  </si>
  <si>
    <t xml:space="preserve">    Plant, Property &amp; Equipment (Gross)</t>
  </si>
  <si>
    <t xml:space="preserve">    Less: Accumulated Depreciation</t>
  </si>
  <si>
    <t>-2.4</t>
  </si>
  <si>
    <t>-5.4</t>
  </si>
  <si>
    <t>-9.4</t>
  </si>
  <si>
    <t>-14.4</t>
  </si>
  <si>
    <t>-20.7</t>
  </si>
  <si>
    <t xml:space="preserve">    Net PPE</t>
  </si>
  <si>
    <t xml:space="preserve">    Intangible Assets (net)</t>
  </si>
  <si>
    <t xml:space="preserve">    Security Deposits</t>
  </si>
  <si>
    <t>TOTAL NON-CURRENT ASSETS</t>
  </si>
  <si>
    <t>TOTAL ASSETS</t>
  </si>
  <si>
    <t>LIABILITIES &amp; EQUITY</t>
  </si>
  <si>
    <t>Current Liabilities</t>
  </si>
  <si>
    <t xml:space="preserve">    Accounts Payable</t>
  </si>
  <si>
    <t xml:space="preserve">    Short-term Debt / OD</t>
  </si>
  <si>
    <t xml:space="preserve">    GST &amp; Tax Payables</t>
  </si>
  <si>
    <t xml:space="preserve">    Accrued Expenses</t>
  </si>
  <si>
    <t>TOTAL CURRENT LIABILITIES</t>
  </si>
  <si>
    <t>Non-Current Liabilities</t>
  </si>
  <si>
    <t xml:space="preserve">    Term Loan (SIDBI)</t>
  </si>
  <si>
    <t xml:space="preserve">    Deferred Tax Liability</t>
  </si>
  <si>
    <t>TOTAL NCL</t>
  </si>
  <si>
    <t>EQUITY</t>
  </si>
  <si>
    <t xml:space="preserve">    Share Capital</t>
  </si>
  <si>
    <t xml:space="preserve">    Grants (Capital Reserve)</t>
  </si>
  <si>
    <t xml:space="preserve">    Retained Earnings (c/f)</t>
  </si>
  <si>
    <t>TOTAL EQUITY</t>
  </si>
  <si>
    <t>TOTAL LIABILITIES + EQUITY</t>
  </si>
  <si>
    <t>CHECK (Assets = Liab+Equity)</t>
  </si>
  <si>
    <t>PROJECTED CASH FLOW STATEMENT  (₹ Lakhs)  |  FY2026 – FY2030</t>
  </si>
  <si>
    <t>A. OPERATING ACTIVITIES</t>
  </si>
  <si>
    <t xml:space="preserve">    Net Profit After Tax</t>
  </si>
  <si>
    <t xml:space="preserve">    Add: Depreciation &amp; Amortisation</t>
  </si>
  <si>
    <t xml:space="preserve">    Add: Interest Expense</t>
  </si>
  <si>
    <t xml:space="preserve">    Changes in Working Capital</t>
  </si>
  <si>
    <t xml:space="preserve">          (Increase)/Decrease in Receivables</t>
  </si>
  <si>
    <t xml:space="preserve">          (Increase)/Decrease in Inventory</t>
  </si>
  <si>
    <t xml:space="preserve">          Increase/(Decrease) in Payables</t>
  </si>
  <si>
    <t xml:space="preserve">          Other working capital changes</t>
  </si>
  <si>
    <t>NET CASH FROM OPERATIONS</t>
  </si>
  <si>
    <t>B. INVESTING ACTIVITIES</t>
  </si>
  <si>
    <t xml:space="preserve">    Purchase of PPE</t>
  </si>
  <si>
    <t xml:space="preserve">    Intangible Asset Investments</t>
  </si>
  <si>
    <t>NET CASH FROM INVESTING</t>
  </si>
  <si>
    <t>C. FINANCING ACTIVITIES</t>
  </si>
  <si>
    <t xml:space="preserve">    Equity Raised</t>
  </si>
  <si>
    <t xml:space="preserve">    Grant Received</t>
  </si>
  <si>
    <t xml:space="preserve">    Term Loan Drawdown</t>
  </si>
  <si>
    <t xml:space="preserve">    Loan Repayments</t>
  </si>
  <si>
    <t xml:space="preserve">    Interest Paid</t>
  </si>
  <si>
    <t xml:space="preserve">    Dividends Paid</t>
  </si>
  <si>
    <t>NET CASH FROM FINANCING</t>
  </si>
  <si>
    <t>NET CHANGE IN CASH</t>
  </si>
  <si>
    <t xml:space="preserve">    Opening Cash Balance</t>
  </si>
  <si>
    <t>CLOSING CASH BALANCE</t>
  </si>
  <si>
    <t>CAPITAL BUDGETING &amp; PROJECT EVALUATION</t>
  </si>
  <si>
    <t>10.1  FREE CASH FLOW TO FIRM (FCFF)  (₹ Lakhs)</t>
  </si>
  <si>
    <t>EBIT</t>
  </si>
  <si>
    <t>Less: Tax on EBIT</t>
  </si>
  <si>
    <t>NOPAT</t>
  </si>
  <si>
    <t>Add: D&amp;A</t>
  </si>
  <si>
    <t>Less: CapEx</t>
  </si>
  <si>
    <t>Less: ΔNWC</t>
  </si>
  <si>
    <t>FCFF</t>
  </si>
  <si>
    <t>10.2  DCF VALUATION  (₹ Lakhs)</t>
  </si>
  <si>
    <t>WACC (discount rate)</t>
  </si>
  <si>
    <t>Terminal Value (Gordon Growth)</t>
  </si>
  <si>
    <t>DCF Component</t>
  </si>
  <si>
    <t>Add: Terminal Value (Year 5 only)</t>
  </si>
  <si>
    <t>Total Cash Flow</t>
  </si>
  <si>
    <t>Discount Factor</t>
  </si>
  <si>
    <t>PV of Cash Flow</t>
  </si>
  <si>
    <t>SUM OF PV (Enterprise Value)</t>
  </si>
  <si>
    <t>10.3  PROJECT EVALUATION METRICS</t>
  </si>
  <si>
    <t>Initial Investment (₹L)</t>
  </si>
  <si>
    <t>NPV  (₹ Lakhs)</t>
  </si>
  <si>
    <t>IRR  (Project Cash Flows Y0–Y5)</t>
  </si>
  <si>
    <t>Payback Period (Years)</t>
  </si>
  <si>
    <t>Profitability Index  (NPV+Investment)/Investment</t>
  </si>
  <si>
    <t>10.4  NPV SENSITIVITY  (₹L)  –  WACC vs Terminal Growth Rate</t>
  </si>
  <si>
    <t>WACC →  /  TGR ↓</t>
  </si>
  <si>
    <t>10%</t>
  </si>
  <si>
    <t>12%</t>
  </si>
  <si>
    <t>14%</t>
  </si>
  <si>
    <t>16%</t>
  </si>
  <si>
    <t>18%</t>
  </si>
  <si>
    <t>20%</t>
  </si>
  <si>
    <t>TGR 2%</t>
  </si>
  <si>
    <t>TGR 3%</t>
  </si>
  <si>
    <t>TGR 4%</t>
  </si>
  <si>
    <t>TGR 5%</t>
  </si>
  <si>
    <t>TGR 6%</t>
  </si>
  <si>
    <t>CONCLUSION &amp; INVESTMENT HIGHLIGHTS</t>
  </si>
  <si>
    <t>11.1  KEY FINANCIAL KPIs SUMMARY</t>
  </si>
  <si>
    <t>KPI</t>
  </si>
  <si>
    <t>Revenue (₹ Lakhs)</t>
  </si>
  <si>
    <t>Growing &gt;28% CAGR</t>
  </si>
  <si>
    <t>&gt;45% (Y3+)</t>
  </si>
  <si>
    <t>EBITDA (₹ Lakhs)</t>
  </si>
  <si>
    <t>Positive from Y2</t>
  </si>
  <si>
    <t>&gt;15% (Y3+)</t>
  </si>
  <si>
    <t>PAT (₹ Lakhs)</t>
  </si>
  <si>
    <t>Positive Y2+</t>
  </si>
  <si>
    <t>&gt;10% (Y4+)</t>
  </si>
  <si>
    <t>Cash Balance (₹L)</t>
  </si>
  <si>
    <t>Always positive</t>
  </si>
  <si>
    <t>Total Units Sold</t>
  </si>
  <si>
    <t>11,000 by Y5</t>
  </si>
  <si>
    <t>NPV (₹ Lakhs)</t>
  </si>
  <si>
    <t>Must be &gt; 0</t>
  </si>
  <si>
    <t>IRR</t>
  </si>
  <si>
    <t>&gt;WACC (target &gt;20%)</t>
  </si>
  <si>
    <t>&lt; 4 Years</t>
  </si>
  <si>
    <t>WACC</t>
  </si>
  <si>
    <t>11.2  INVESTMENT HIGHLIGHTS</t>
  </si>
  <si>
    <t>India's EV 2-wheeler market grows at ~28% CAGR; apartment housing is the fastest-growing urban segment.</t>
  </si>
  <si>
    <t>No foldable, apartment-specific smart dock exists — ScootCharge fills a genuine white-space gap.</t>
  </si>
  <si>
    <t>Total CapEx of ~₹55L is modest; break-even achieved at ~1,700 units — easily within Year 2 targets.</t>
  </si>
  <si>
    <t>Hardware (B2C + B2B) + recurring SaaS subscription creates a diversified, scalable revenue model.</t>
  </si>
  <si>
    <t>DCF-based NPV strongly positive; IRR expected to exceed WACC by 10–15% at base-case projections.</t>
  </si>
  <si>
    <t>FAME-II policy, DPIIT startup grants, and mandatory EV-ready building codes reduce risk &amp; cost.</t>
  </si>
  <si>
    <t>Housing society bulk deals (10–200 units) provide high-volume, low-CAC revenue with recurring service contracts.</t>
  </si>
  <si>
    <t>4-founder team with complementary skills in hardware engineering, software, finance, and sales.</t>
  </si>
  <si>
    <t>CONCLUSION:  ScootCharge Solutions Pvt. Ltd. presents a compelling investment opportunity at the intersection of India's EV revolution and urban apartment growth. With a clearly differentiated product, a lean capital structure, strong government policy support, and a credible path to profitability by Year 2, the business is well-positioned to capture significant market share in an under-served, high-growth segment. The financial projections demonstrate robust NPV, an IRR exceeding WACC, and a payback period of approximately 3.2 years — making this a financially sound and strategically compelling start-up venture.</t>
  </si>
  <si>
    <t>Nandini Modgil, Devansh Gerg, Paridhi Somani, Vaidehi Patil, Atharva Sinnarkar, Adarshdeep Gupta</t>
  </si>
  <si>
    <t>Large &amp; Fast-Growing Market</t>
  </si>
  <si>
    <t>Clear Product-Market Fit</t>
  </si>
  <si>
    <t>Lean Capital Model</t>
  </si>
  <si>
    <t>Multiple Revenue Streams</t>
  </si>
  <si>
    <t>Strong Financial Returns</t>
  </si>
  <si>
    <t>Regulatory Tailwind</t>
  </si>
  <si>
    <t>Scalable B2B Channel</t>
  </si>
  <si>
    <t>Experienced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</si>
</sst>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#,##0.0"/>
    <numFmt numFmtId="166" formatCode="0.00\x"/>
    <numFmt numFmtId="167" formatCode="\₹#,##0.00"/>
    <numFmt numFmtId="168" formatCode="#,##0;\(#,##0\);\-"/>
    <numFmt numFmtId="169" formatCode="#,##0.00;\(#,##0.00\);\-"/>
    <numFmt numFmtId="170" formatCode="0.0%;\(0.0%\);\-"/>
    <numFmt numFmtId="171" formatCode="0.00\x;\(0.00&quot;x)&quot;;\-"/>
    <numFmt numFmtId="172" formatCode="0.0000"/>
    <numFmt numFmtId="173" formatCode="0.0"/>
    <numFmt numFmtId="174" formatCode="#,##0.0;\(#,##0.0\);\-"/>
  </numFmts>
  <fonts count="19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E5090"/>
      <name val="Arial"/>
      <charset val="1"/>
    </font>
    <font>
      <sz val="10"/>
      <color rgb="FF0000FF"/>
      <name val="Arial"/>
      <charset val="1"/>
    </font>
    <font>
      <i/>
      <sz val="10"/>
      <color rgb="FF555555"/>
      <name val="Arial"/>
      <charset val="1"/>
    </font>
    <font>
      <sz val="11"/>
      <color rgb="FF000000"/>
      <name val="Arial"/>
      <charset val="1"/>
    </font>
    <font>
      <sz val="11"/>
      <color rgb="FF008000"/>
      <name val="Arial"/>
      <charset val="1"/>
    </font>
    <font>
      <b/>
      <sz val="11"/>
      <color rgb="FF1B2A4A"/>
      <name val="Arial"/>
      <charset val="1"/>
    </font>
    <font>
      <sz val="10"/>
      <color rgb="FF008000"/>
      <name val="Arial"/>
      <charset val="1"/>
    </font>
    <font>
      <b/>
      <sz val="10"/>
      <color rgb="FF1B2A4A"/>
      <name val="Arial"/>
      <charset val="1"/>
    </font>
    <font>
      <i/>
      <sz val="9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i/>
      <sz val="10"/>
      <color rgb="FF1B2A4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555555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DFEFE"/>
      </patternFill>
    </fill>
    <fill>
      <patternFill patternType="solid">
        <fgColor rgb="FFF2F4F6"/>
        <bgColor rgb="FFEBF5FB"/>
      </patternFill>
    </fill>
    <fill>
      <patternFill patternType="solid">
        <fgColor rgb="FFF0B429"/>
        <bgColor rgb="FFFF9900"/>
      </patternFill>
    </fill>
    <fill>
      <patternFill patternType="solid">
        <fgColor rgb="FFFFFACD"/>
        <bgColor rgb="FFFDEDEC"/>
      </patternFill>
    </fill>
    <fill>
      <patternFill patternType="solid">
        <fgColor rgb="FFC8F7C5"/>
        <bgColor rgb="FF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3" fontId="8" fillId="5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wrapText="1"/>
    </xf>
    <xf numFmtId="164" fontId="8" fillId="5" borderId="0" xfId="0" applyNumberFormat="1" applyFont="1" applyFill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66" fontId="8" fillId="5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center" vertical="center"/>
    </xf>
    <xf numFmtId="4" fontId="8" fillId="5" borderId="0" xfId="0" applyNumberFormat="1" applyFont="1" applyFill="1" applyAlignment="1">
      <alignment horizontal="right" vertical="center"/>
    </xf>
    <xf numFmtId="3" fontId="8" fillId="6" borderId="0" xfId="0" applyNumberFormat="1" applyFont="1" applyFill="1" applyAlignment="1">
      <alignment horizontal="center" vertical="center"/>
    </xf>
    <xf numFmtId="3" fontId="8" fillId="6" borderId="0" xfId="0" applyNumberFormat="1" applyFont="1" applyFill="1" applyAlignment="1">
      <alignment horizontal="right" vertical="center"/>
    </xf>
    <xf numFmtId="4" fontId="8" fillId="6" borderId="0" xfId="0" applyNumberFormat="1" applyFont="1" applyFill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" fontId="5" fillId="2" borderId="0" xfId="0" applyNumberFormat="1" applyFont="1" applyFill="1" applyAlignment="1">
      <alignment horizontal="right" vertical="center"/>
    </xf>
    <xf numFmtId="0" fontId="0" fillId="2" borderId="0" xfId="0" applyFill="1"/>
    <xf numFmtId="167" fontId="11" fillId="0" borderId="0" xfId="0" applyNumberFormat="1" applyFont="1" applyAlignment="1">
      <alignment horizontal="right" vertical="center"/>
    </xf>
    <xf numFmtId="167" fontId="5" fillId="2" borderId="0" xfId="0" applyNumberFormat="1" applyFont="1" applyFill="1" applyAlignment="1">
      <alignment horizontal="right" vertical="center"/>
    </xf>
    <xf numFmtId="164" fontId="0" fillId="5" borderId="0" xfId="0" applyNumberFormat="1" applyFill="1" applyAlignment="1">
      <alignment horizontal="right" vertical="center"/>
    </xf>
    <xf numFmtId="164" fontId="0" fillId="6" borderId="0" xfId="0" applyNumberFormat="1" applyFill="1" applyAlignment="1">
      <alignment horizontal="right" vertical="center"/>
    </xf>
    <xf numFmtId="168" fontId="8" fillId="5" borderId="0" xfId="0" applyNumberFormat="1" applyFont="1" applyFill="1" applyAlignment="1">
      <alignment horizontal="right" vertical="center"/>
    </xf>
    <xf numFmtId="164" fontId="11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12" fillId="7" borderId="0" xfId="0" applyNumberFormat="1" applyFont="1" applyFill="1" applyAlignment="1">
      <alignment horizontal="center" vertical="center"/>
    </xf>
    <xf numFmtId="0" fontId="0" fillId="5" borderId="0" xfId="0" applyFill="1"/>
    <xf numFmtId="169" fontId="13" fillId="6" borderId="0" xfId="0" applyNumberFormat="1" applyFont="1" applyFill="1" applyAlignment="1">
      <alignment horizontal="right" vertical="center"/>
    </xf>
    <xf numFmtId="169" fontId="13" fillId="5" borderId="0" xfId="0" applyNumberFormat="1" applyFont="1" applyFill="1" applyAlignment="1">
      <alignment horizontal="right" vertical="center"/>
    </xf>
    <xf numFmtId="169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0" fontId="13" fillId="6" borderId="0" xfId="0" applyNumberFormat="1" applyFont="1" applyFill="1" applyAlignment="1">
      <alignment horizontal="right" vertical="center"/>
    </xf>
    <xf numFmtId="170" fontId="13" fillId="5" borderId="0" xfId="0" applyNumberFormat="1" applyFont="1" applyFill="1" applyAlignment="1">
      <alignment horizontal="right" vertical="center"/>
    </xf>
    <xf numFmtId="170" fontId="14" fillId="7" borderId="0" xfId="0" applyNumberFormat="1" applyFont="1" applyFill="1" applyAlignment="1">
      <alignment horizontal="center" vertical="center"/>
    </xf>
    <xf numFmtId="171" fontId="13" fillId="6" borderId="0" xfId="0" applyNumberFormat="1" applyFont="1" applyFill="1" applyAlignment="1">
      <alignment horizontal="right" vertical="center"/>
    </xf>
    <xf numFmtId="171" fontId="13" fillId="5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9" fontId="16" fillId="4" borderId="0" xfId="0" applyNumberFormat="1" applyFont="1" applyFill="1" applyAlignment="1">
      <alignment horizontal="right" vertical="center"/>
    </xf>
    <xf numFmtId="3" fontId="17" fillId="5" borderId="0" xfId="0" applyNumberFormat="1" applyFont="1" applyFill="1" applyAlignment="1">
      <alignment horizontal="right" vertical="center"/>
    </xf>
    <xf numFmtId="169" fontId="10" fillId="5" borderId="0" xfId="0" applyNumberFormat="1" applyFont="1" applyFill="1" applyAlignment="1">
      <alignment horizontal="right" vertical="center"/>
    </xf>
    <xf numFmtId="169" fontId="17" fillId="5" borderId="0" xfId="0" applyNumberFormat="1" applyFont="1" applyFill="1" applyAlignment="1">
      <alignment horizontal="right" vertical="center"/>
    </xf>
    <xf numFmtId="169" fontId="16" fillId="6" borderId="0" xfId="0" applyNumberFormat="1" applyFont="1" applyFill="1" applyAlignment="1">
      <alignment horizontal="right" vertical="center"/>
    </xf>
    <xf numFmtId="164" fontId="16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9" fontId="5" fillId="2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169" fontId="16" fillId="8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169" fontId="5" fillId="3" borderId="0" xfId="0" applyNumberFormat="1" applyFont="1" applyFill="1" applyAlignment="1">
      <alignment horizontal="right" vertical="center"/>
    </xf>
    <xf numFmtId="0" fontId="12" fillId="7" borderId="0" xfId="0" applyFont="1" applyFill="1" applyAlignment="1">
      <alignment horizontal="left" vertical="center"/>
    </xf>
    <xf numFmtId="169" fontId="12" fillId="7" borderId="0" xfId="0" applyNumberFormat="1" applyFont="1" applyFill="1" applyAlignment="1">
      <alignment horizontal="right" vertical="center"/>
    </xf>
    <xf numFmtId="169" fontId="10" fillId="6" borderId="0" xfId="0" applyNumberFormat="1" applyFont="1" applyFill="1" applyAlignment="1">
      <alignment horizontal="right" vertical="center"/>
    </xf>
    <xf numFmtId="169" fontId="17" fillId="6" borderId="0" xfId="0" applyNumberFormat="1" applyFont="1" applyFill="1" applyAlignment="1">
      <alignment horizontal="right" vertical="center"/>
    </xf>
    <xf numFmtId="164" fontId="11" fillId="6" borderId="0" xfId="0" applyNumberFormat="1" applyFont="1" applyFill="1" applyAlignment="1">
      <alignment horizontal="right" vertical="center"/>
    </xf>
    <xf numFmtId="4" fontId="16" fillId="4" borderId="0" xfId="0" applyNumberFormat="1" applyFont="1" applyFill="1" applyAlignment="1">
      <alignment horizontal="right" vertical="center"/>
    </xf>
    <xf numFmtId="1" fontId="8" fillId="5" borderId="0" xfId="0" applyNumberFormat="1" applyFont="1" applyFill="1" applyAlignment="1">
      <alignment horizontal="right" vertical="center"/>
    </xf>
    <xf numFmtId="172" fontId="10" fillId="6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169" fontId="10" fillId="4" borderId="0" xfId="0" applyNumberFormat="1" applyFont="1" applyFill="1" applyAlignment="1">
      <alignment horizontal="right" vertical="center"/>
    </xf>
    <xf numFmtId="4" fontId="12" fillId="7" borderId="0" xfId="0" applyNumberFormat="1" applyFont="1" applyFill="1" applyAlignment="1">
      <alignment horizontal="right" vertical="center"/>
    </xf>
    <xf numFmtId="173" fontId="8" fillId="5" borderId="0" xfId="0" applyNumberFormat="1" applyFont="1" applyFill="1" applyAlignment="1">
      <alignment horizontal="right" vertical="center"/>
    </xf>
    <xf numFmtId="166" fontId="16" fillId="4" borderId="0" xfId="0" applyNumberFormat="1" applyFont="1" applyFill="1" applyAlignment="1">
      <alignment horizontal="right" vertical="center"/>
    </xf>
    <xf numFmtId="174" fontId="10" fillId="9" borderId="0" xfId="0" applyNumberFormat="1" applyFont="1" applyFill="1" applyAlignment="1">
      <alignment horizontal="right" vertical="center"/>
    </xf>
    <xf numFmtId="4" fontId="11" fillId="5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3" fontId="11" fillId="6" borderId="0" xfId="0" applyNumberFormat="1" applyFont="1" applyFill="1" applyAlignment="1">
      <alignment horizontal="right" vertical="center"/>
    </xf>
    <xf numFmtId="4" fontId="17" fillId="5" borderId="0" xfId="0" applyNumberFormat="1" applyFont="1" applyFill="1" applyAlignment="1">
      <alignment horizontal="right" vertical="center"/>
    </xf>
    <xf numFmtId="164" fontId="17" fillId="6" borderId="0" xfId="0" applyNumberFormat="1" applyFont="1" applyFill="1" applyAlignment="1">
      <alignment horizontal="right" vertical="center"/>
    </xf>
    <xf numFmtId="173" fontId="11" fillId="5" borderId="0" xfId="0" applyNumberFormat="1" applyFont="1" applyFill="1" applyAlignment="1">
      <alignment horizontal="right" vertical="center"/>
    </xf>
    <xf numFmtId="173" fontId="17" fillId="5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000080"/>
      <rgbColor rgb="FF808000"/>
      <rgbColor rgb="FF800080"/>
      <rgbColor rgb="FF009900"/>
      <rgbColor rgb="FFEBF5FB"/>
      <rgbColor rgb="FF888888"/>
      <rgbColor rgb="FF9999FF"/>
      <rgbColor rgb="FF993366"/>
      <rgbColor rgb="FFFFFACD"/>
      <rgbColor rgb="FFD5F5E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C8F7C5"/>
      <rgbColor rgb="FFFDEDEC"/>
      <rgbColor rgb="FFEAFAF1"/>
      <rgbColor rgb="FFFAF3FF"/>
      <rgbColor rgb="FFF2F4F6"/>
      <rgbColor rgb="FFF5EEF8"/>
      <rgbColor rgb="FF3366FF"/>
      <rgbColor rgb="FF33CCCC"/>
      <rgbColor rgb="FF99CC00"/>
      <rgbColor rgb="FFF0B429"/>
      <rgbColor rgb="FFFF9900"/>
      <rgbColor rgb="FFFF6600"/>
      <rgbColor rgb="FF555555"/>
      <rgbColor rgb="FF969696"/>
      <rgbColor rgb="FF003366"/>
      <rgbColor rgb="FF1E8449"/>
      <rgbColor rgb="FF003300"/>
      <rgbColor rgb="FF333300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opLeftCell="A9" zoomScaleNormal="100" workbookViewId="0">
      <selection activeCell="E26" sqref="E26"/>
    </sheetView>
  </sheetViews>
  <sheetFormatPr defaultColWidth="8.6640625" defaultRowHeight="14.4" x14ac:dyDescent="0.3"/>
  <cols>
    <col min="1" max="9" width="18" customWidth="1"/>
  </cols>
  <sheetData>
    <row r="1" spans="1:9" ht="7.5" customHeight="1" x14ac:dyDescent="0.3"/>
    <row r="2" spans="1:9" ht="60" customHeight="1" x14ac:dyDescent="0.3">
      <c r="A2" s="99" t="s">
        <v>0</v>
      </c>
      <c r="B2" s="99"/>
      <c r="C2" s="99"/>
      <c r="D2" s="99"/>
      <c r="E2" s="99"/>
      <c r="F2" s="99"/>
      <c r="G2" s="99"/>
      <c r="H2" s="99"/>
      <c r="I2" s="99"/>
    </row>
    <row r="3" spans="1:9" ht="21.75" customHeight="1" x14ac:dyDescent="0.3">
      <c r="A3" s="100" t="s">
        <v>1</v>
      </c>
      <c r="B3" s="100"/>
      <c r="C3" s="100"/>
      <c r="D3" s="100"/>
      <c r="E3" s="100"/>
      <c r="F3" s="100"/>
      <c r="G3" s="100"/>
      <c r="H3" s="100"/>
      <c r="I3" s="100"/>
    </row>
    <row r="4" spans="1:9" ht="21.75" customHeight="1" x14ac:dyDescent="0.3"/>
    <row r="5" spans="1:9" ht="21.75" customHeight="1" x14ac:dyDescent="0.3">
      <c r="B5" s="98" t="s">
        <v>2</v>
      </c>
      <c r="C5" s="98"/>
      <c r="D5" s="98"/>
      <c r="E5" s="97" t="s">
        <v>3</v>
      </c>
      <c r="F5" s="97"/>
      <c r="G5" s="97"/>
      <c r="H5" s="97"/>
      <c r="I5" s="97"/>
    </row>
    <row r="6" spans="1:9" ht="21.75" customHeight="1" x14ac:dyDescent="0.3">
      <c r="B6" s="98" t="s">
        <v>4</v>
      </c>
      <c r="C6" s="98"/>
      <c r="D6" s="98"/>
      <c r="E6" s="97" t="s">
        <v>5</v>
      </c>
      <c r="F6" s="97"/>
      <c r="G6" s="97"/>
      <c r="H6" s="97"/>
      <c r="I6" s="97"/>
    </row>
    <row r="7" spans="1:9" ht="21.75" customHeight="1" x14ac:dyDescent="0.3">
      <c r="B7" s="98" t="s">
        <v>6</v>
      </c>
      <c r="C7" s="98"/>
      <c r="D7" s="98"/>
      <c r="E7" s="97" t="s">
        <v>7</v>
      </c>
      <c r="F7" s="97"/>
      <c r="G7" s="97"/>
      <c r="H7" s="97"/>
      <c r="I7" s="97"/>
    </row>
    <row r="8" spans="1:9" ht="21.75" customHeight="1" x14ac:dyDescent="0.3">
      <c r="B8" s="98" t="s">
        <v>8</v>
      </c>
      <c r="C8" s="98"/>
      <c r="D8" s="98"/>
      <c r="E8" s="97" t="s">
        <v>9</v>
      </c>
      <c r="F8" s="97"/>
      <c r="G8" s="97"/>
      <c r="H8" s="97"/>
      <c r="I8" s="97"/>
    </row>
    <row r="9" spans="1:9" ht="21.75" customHeight="1" x14ac:dyDescent="0.3">
      <c r="B9" s="98" t="s">
        <v>10</v>
      </c>
      <c r="C9" s="98"/>
      <c r="D9" s="98"/>
      <c r="E9" s="97" t="s">
        <v>540</v>
      </c>
      <c r="F9" s="97"/>
      <c r="G9" s="97"/>
      <c r="H9" s="97"/>
      <c r="I9" s="97"/>
    </row>
    <row r="10" spans="1:9" ht="21.75" customHeight="1" x14ac:dyDescent="0.3"/>
    <row r="11" spans="1:9" ht="21.75" customHeight="1" x14ac:dyDescent="0.3">
      <c r="A11" s="94" t="s">
        <v>11</v>
      </c>
      <c r="B11" s="94"/>
      <c r="C11" s="94"/>
      <c r="D11" s="94"/>
      <c r="E11" s="94"/>
      <c r="F11" s="94"/>
      <c r="G11" s="94"/>
      <c r="H11" s="94"/>
      <c r="I11" s="94"/>
    </row>
    <row r="12" spans="1:9" ht="21.75" customHeight="1" x14ac:dyDescent="0.3">
      <c r="B12" s="7" t="s">
        <v>12</v>
      </c>
      <c r="C12" s="7" t="s">
        <v>13</v>
      </c>
    </row>
    <row r="13" spans="1:9" ht="21.75" customHeight="1" x14ac:dyDescent="0.3">
      <c r="B13" s="8" t="s">
        <v>14</v>
      </c>
      <c r="C13" s="96" t="s">
        <v>15</v>
      </c>
      <c r="D13" s="96"/>
      <c r="E13" s="96"/>
      <c r="F13" s="96"/>
      <c r="G13" s="96"/>
      <c r="H13" s="96"/>
      <c r="I13" s="96"/>
    </row>
    <row r="14" spans="1:9" ht="21.75" customHeight="1" x14ac:dyDescent="0.3">
      <c r="B14" s="9" t="s">
        <v>16</v>
      </c>
      <c r="C14" s="97" t="s">
        <v>17</v>
      </c>
      <c r="D14" s="97"/>
      <c r="E14" s="97"/>
      <c r="F14" s="97"/>
      <c r="G14" s="97"/>
      <c r="H14" s="97"/>
      <c r="I14" s="97"/>
    </row>
    <row r="15" spans="1:9" ht="21.75" customHeight="1" x14ac:dyDescent="0.3">
      <c r="B15" s="8" t="s">
        <v>18</v>
      </c>
      <c r="C15" s="96" t="s">
        <v>19</v>
      </c>
      <c r="D15" s="96"/>
      <c r="E15" s="96"/>
      <c r="F15" s="96"/>
      <c r="G15" s="96"/>
      <c r="H15" s="96"/>
      <c r="I15" s="96"/>
    </row>
    <row r="16" spans="1:9" ht="21.75" customHeight="1" x14ac:dyDescent="0.3">
      <c r="B16" s="9" t="s">
        <v>20</v>
      </c>
      <c r="C16" s="97" t="s">
        <v>21</v>
      </c>
      <c r="D16" s="97"/>
      <c r="E16" s="97"/>
      <c r="F16" s="97"/>
      <c r="G16" s="97"/>
      <c r="H16" s="97"/>
      <c r="I16" s="97"/>
    </row>
    <row r="17" spans="2:9" ht="21.75" customHeight="1" x14ac:dyDescent="0.3">
      <c r="B17" s="8" t="s">
        <v>22</v>
      </c>
      <c r="C17" s="96" t="s">
        <v>23</v>
      </c>
      <c r="D17" s="96"/>
      <c r="E17" s="96"/>
      <c r="F17" s="96"/>
      <c r="G17" s="96"/>
      <c r="H17" s="96"/>
      <c r="I17" s="96"/>
    </row>
    <row r="18" spans="2:9" ht="21.75" customHeight="1" x14ac:dyDescent="0.3">
      <c r="B18" s="9" t="s">
        <v>24</v>
      </c>
      <c r="C18" s="97" t="s">
        <v>25</v>
      </c>
      <c r="D18" s="97"/>
      <c r="E18" s="97"/>
      <c r="F18" s="97"/>
      <c r="G18" s="97"/>
      <c r="H18" s="97"/>
      <c r="I18" s="97"/>
    </row>
    <row r="19" spans="2:9" ht="21.75" customHeight="1" x14ac:dyDescent="0.3">
      <c r="B19" s="8" t="s">
        <v>26</v>
      </c>
      <c r="C19" s="96" t="s">
        <v>27</v>
      </c>
      <c r="D19" s="96"/>
      <c r="E19" s="96"/>
      <c r="F19" s="96"/>
      <c r="G19" s="96"/>
      <c r="H19" s="96"/>
      <c r="I19" s="96"/>
    </row>
    <row r="20" spans="2:9" ht="21.75" customHeight="1" x14ac:dyDescent="0.3">
      <c r="B20" s="9" t="s">
        <v>28</v>
      </c>
      <c r="C20" s="97" t="s">
        <v>29</v>
      </c>
      <c r="D20" s="97"/>
      <c r="E20" s="97"/>
      <c r="F20" s="97"/>
      <c r="G20" s="97"/>
      <c r="H20" s="97"/>
      <c r="I20" s="97"/>
    </row>
    <row r="21" spans="2:9" ht="21.75" customHeight="1" x14ac:dyDescent="0.3">
      <c r="B21" s="8" t="s">
        <v>30</v>
      </c>
      <c r="C21" s="96" t="s">
        <v>31</v>
      </c>
      <c r="D21" s="96"/>
      <c r="E21" s="96"/>
      <c r="F21" s="96"/>
      <c r="G21" s="96"/>
      <c r="H21" s="96"/>
      <c r="I21" s="96"/>
    </row>
    <row r="22" spans="2:9" ht="21.75" customHeight="1" x14ac:dyDescent="0.3">
      <c r="B22" s="9" t="s">
        <v>32</v>
      </c>
      <c r="C22" s="97" t="s">
        <v>33</v>
      </c>
      <c r="D22" s="97"/>
      <c r="E22" s="97"/>
      <c r="F22" s="97"/>
      <c r="G22" s="97"/>
      <c r="H22" s="97"/>
      <c r="I22" s="97"/>
    </row>
    <row r="23" spans="2:9" ht="21.75" customHeight="1" x14ac:dyDescent="0.3">
      <c r="B23" s="8" t="s">
        <v>34</v>
      </c>
      <c r="C23" s="96" t="s">
        <v>35</v>
      </c>
      <c r="D23" s="96"/>
      <c r="E23" s="96"/>
      <c r="F23" s="96"/>
      <c r="G23" s="96"/>
      <c r="H23" s="96"/>
      <c r="I23" s="96"/>
    </row>
    <row r="24" spans="2:9" ht="21.75" customHeight="1" x14ac:dyDescent="0.3"/>
    <row r="25" spans="2:9" ht="21.75" customHeight="1" x14ac:dyDescent="0.3"/>
    <row r="26" spans="2:9" ht="21.75" customHeight="1" x14ac:dyDescent="0.3"/>
    <row r="27" spans="2:9" ht="21.75" customHeight="1" x14ac:dyDescent="0.3"/>
    <row r="28" spans="2:9" ht="21.75" customHeight="1" x14ac:dyDescent="0.3"/>
    <row r="29" spans="2:9" ht="21.75" customHeight="1" x14ac:dyDescent="0.3"/>
    <row r="30" spans="2:9" ht="21.75" customHeight="1" x14ac:dyDescent="0.3"/>
    <row r="31" spans="2:9" ht="21.75" customHeight="1" x14ac:dyDescent="0.3"/>
  </sheetData>
  <mergeCells count="24">
    <mergeCell ref="A2:I2"/>
    <mergeCell ref="A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A11:I11"/>
    <mergeCell ref="C13:I13"/>
    <mergeCell ref="C14:I14"/>
    <mergeCell ref="C15:I15"/>
    <mergeCell ref="C16:I16"/>
    <mergeCell ref="C17:I17"/>
    <mergeCell ref="C23:I23"/>
    <mergeCell ref="C18:I18"/>
    <mergeCell ref="C19:I19"/>
    <mergeCell ref="C20:I20"/>
    <mergeCell ref="C21:I21"/>
    <mergeCell ref="C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35" customWidth="1"/>
    <col min="2" max="7" width="18" customWidth="1"/>
  </cols>
  <sheetData>
    <row r="1" spans="1:7" ht="15" customHeight="1" x14ac:dyDescent="0.3">
      <c r="A1" s="94" t="s">
        <v>36</v>
      </c>
      <c r="B1" s="94"/>
      <c r="C1" s="94"/>
      <c r="D1" s="94"/>
      <c r="E1" s="94"/>
      <c r="F1" s="94"/>
      <c r="G1" s="94"/>
    </row>
    <row r="3" spans="1:7" ht="15" customHeight="1" x14ac:dyDescent="0.3">
      <c r="A3" s="95" t="s">
        <v>37</v>
      </c>
      <c r="B3" s="95"/>
      <c r="C3" s="95"/>
      <c r="D3" s="95"/>
      <c r="E3" s="95"/>
      <c r="F3" s="95"/>
      <c r="G3" s="95"/>
    </row>
    <row r="4" spans="1:7" ht="31.5" customHeight="1" x14ac:dyDescent="0.3">
      <c r="A4" s="101" t="s">
        <v>38</v>
      </c>
      <c r="B4" s="101"/>
      <c r="C4" s="101"/>
      <c r="D4" s="101"/>
      <c r="E4" s="101"/>
      <c r="F4" s="101"/>
      <c r="G4" s="101"/>
    </row>
    <row r="5" spans="1:7" ht="31.5" customHeight="1" x14ac:dyDescent="0.3">
      <c r="A5" s="102" t="s">
        <v>39</v>
      </c>
      <c r="B5" s="102"/>
      <c r="C5" s="102"/>
      <c r="D5" s="102"/>
      <c r="E5" s="102"/>
      <c r="F5" s="102"/>
      <c r="G5" s="102"/>
    </row>
    <row r="6" spans="1:7" ht="31.5" customHeight="1" x14ac:dyDescent="0.3">
      <c r="A6" s="101" t="s">
        <v>40</v>
      </c>
      <c r="B6" s="101"/>
      <c r="C6" s="101"/>
      <c r="D6" s="101"/>
      <c r="E6" s="101"/>
      <c r="F6" s="101"/>
      <c r="G6" s="101"/>
    </row>
    <row r="7" spans="1:7" ht="31.5" customHeight="1" x14ac:dyDescent="0.3">
      <c r="A7" s="102" t="s">
        <v>41</v>
      </c>
      <c r="B7" s="102"/>
      <c r="C7" s="102"/>
      <c r="D7" s="102"/>
      <c r="E7" s="102"/>
      <c r="F7" s="102"/>
      <c r="G7" s="102"/>
    </row>
    <row r="9" spans="1:7" ht="15" customHeight="1" x14ac:dyDescent="0.3">
      <c r="A9" s="95" t="s">
        <v>42</v>
      </c>
      <c r="B9" s="95"/>
      <c r="C9" s="95"/>
      <c r="D9" s="95"/>
      <c r="E9" s="95"/>
      <c r="F9" s="95"/>
      <c r="G9" s="95"/>
    </row>
    <row r="10" spans="1:7" ht="15" customHeight="1" x14ac:dyDescent="0.3">
      <c r="A10" s="7" t="s">
        <v>43</v>
      </c>
      <c r="B10" s="7" t="s">
        <v>44</v>
      </c>
      <c r="C10" s="7" t="s">
        <v>45</v>
      </c>
      <c r="D10" s="7" t="s">
        <v>46</v>
      </c>
      <c r="E10" s="7" t="s">
        <v>47</v>
      </c>
      <c r="F10" s="7" t="s">
        <v>48</v>
      </c>
      <c r="G10" s="7" t="s">
        <v>49</v>
      </c>
    </row>
    <row r="11" spans="1:7" ht="30" customHeight="1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</row>
    <row r="12" spans="1:7" ht="30" customHeight="1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</row>
    <row r="13" spans="1:7" ht="30" customHeight="1" x14ac:dyDescent="0.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</row>
    <row r="15" spans="1:7" ht="15" customHeight="1" x14ac:dyDescent="0.3">
      <c r="A15" s="95" t="s">
        <v>71</v>
      </c>
      <c r="B15" s="95"/>
      <c r="C15" s="95"/>
      <c r="D15" s="95"/>
      <c r="E15" s="95"/>
      <c r="F15" s="95"/>
      <c r="G15" s="95"/>
    </row>
    <row r="16" spans="1:7" ht="27.75" customHeight="1" x14ac:dyDescent="0.3">
      <c r="A16" s="10" t="s">
        <v>72</v>
      </c>
      <c r="B16" s="101" t="s">
        <v>73</v>
      </c>
      <c r="C16" s="101"/>
      <c r="D16" s="101"/>
      <c r="E16" s="101"/>
      <c r="F16" s="101"/>
      <c r="G16" s="101"/>
    </row>
    <row r="17" spans="1:7" ht="27.75" customHeight="1" x14ac:dyDescent="0.3">
      <c r="A17" s="11" t="s">
        <v>74</v>
      </c>
      <c r="B17" s="102" t="s">
        <v>75</v>
      </c>
      <c r="C17" s="102"/>
      <c r="D17" s="102"/>
      <c r="E17" s="102"/>
      <c r="F17" s="102"/>
      <c r="G17" s="102"/>
    </row>
    <row r="18" spans="1:7" ht="27.75" customHeight="1" x14ac:dyDescent="0.3">
      <c r="A18" s="10" t="s">
        <v>76</v>
      </c>
      <c r="B18" s="101" t="s">
        <v>77</v>
      </c>
      <c r="C18" s="101"/>
      <c r="D18" s="101"/>
      <c r="E18" s="101"/>
      <c r="F18" s="101"/>
      <c r="G18" s="101"/>
    </row>
    <row r="19" spans="1:7" ht="27.75" customHeight="1" x14ac:dyDescent="0.3">
      <c r="A19" s="11" t="s">
        <v>78</v>
      </c>
      <c r="B19" s="102" t="s">
        <v>79</v>
      </c>
      <c r="C19" s="102"/>
      <c r="D19" s="102"/>
      <c r="E19" s="102"/>
      <c r="F19" s="102"/>
      <c r="G19" s="102"/>
    </row>
    <row r="20" spans="1:7" ht="27.75" customHeight="1" x14ac:dyDescent="0.3">
      <c r="A20" s="10" t="s">
        <v>80</v>
      </c>
      <c r="B20" s="101" t="s">
        <v>81</v>
      </c>
      <c r="C20" s="101"/>
      <c r="D20" s="101"/>
      <c r="E20" s="101"/>
      <c r="F20" s="101"/>
      <c r="G20" s="101"/>
    </row>
  </sheetData>
  <mergeCells count="13">
    <mergeCell ref="A1:G1"/>
    <mergeCell ref="A3:G3"/>
    <mergeCell ref="A4:G4"/>
    <mergeCell ref="A5:G5"/>
    <mergeCell ref="A6:G6"/>
    <mergeCell ref="A7:G7"/>
    <mergeCell ref="A9:G9"/>
    <mergeCell ref="A15:G15"/>
    <mergeCell ref="B16:G16"/>
    <mergeCell ref="B17:G17"/>
    <mergeCell ref="B18:G18"/>
    <mergeCell ref="B19:G19"/>
    <mergeCell ref="B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2" width="18" customWidth="1"/>
    <col min="3" max="6" width="15" customWidth="1"/>
    <col min="7" max="8" width="22" customWidth="1"/>
  </cols>
  <sheetData>
    <row r="1" spans="1:9" ht="15" customHeight="1" x14ac:dyDescent="0.3">
      <c r="A1" s="94" t="s">
        <v>82</v>
      </c>
      <c r="B1" s="94"/>
      <c r="C1" s="94"/>
      <c r="D1" s="94"/>
      <c r="E1" s="94"/>
      <c r="F1" s="94"/>
      <c r="G1" s="94"/>
      <c r="H1" s="94"/>
    </row>
    <row r="3" spans="1:9" ht="15" customHeight="1" x14ac:dyDescent="0.3">
      <c r="A3" s="95" t="s">
        <v>83</v>
      </c>
      <c r="B3" s="95"/>
      <c r="C3" s="95"/>
      <c r="D3" s="95"/>
      <c r="E3" s="95"/>
      <c r="F3" s="95"/>
      <c r="G3" s="95"/>
      <c r="H3" s="95"/>
    </row>
    <row r="4" spans="1:9" ht="15" customHeight="1" x14ac:dyDescent="0.3">
      <c r="A4" s="7" t="s">
        <v>84</v>
      </c>
      <c r="B4" s="7" t="s">
        <v>43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</row>
    <row r="5" spans="1:9" ht="37.5" customHeight="1" x14ac:dyDescent="0.3">
      <c r="A5" s="12" t="s">
        <v>91</v>
      </c>
      <c r="B5" s="12" t="s">
        <v>92</v>
      </c>
      <c r="C5" s="13" t="s">
        <v>93</v>
      </c>
      <c r="D5" s="13" t="s">
        <v>94</v>
      </c>
      <c r="E5" s="13" t="s">
        <v>94</v>
      </c>
      <c r="F5" s="13" t="s">
        <v>94</v>
      </c>
      <c r="G5" s="12" t="s">
        <v>95</v>
      </c>
      <c r="H5" s="12" t="s">
        <v>96</v>
      </c>
    </row>
    <row r="6" spans="1:9" ht="37.5" customHeight="1" x14ac:dyDescent="0.3">
      <c r="A6" s="2" t="s">
        <v>97</v>
      </c>
      <c r="B6" s="2" t="s">
        <v>98</v>
      </c>
      <c r="C6" s="14" t="s">
        <v>99</v>
      </c>
      <c r="D6" s="14" t="s">
        <v>94</v>
      </c>
      <c r="E6" s="14" t="s">
        <v>100</v>
      </c>
      <c r="F6" s="14" t="s">
        <v>100</v>
      </c>
      <c r="G6" s="2" t="s">
        <v>101</v>
      </c>
      <c r="H6" s="2" t="s">
        <v>102</v>
      </c>
    </row>
    <row r="7" spans="1:9" ht="37.5" customHeight="1" x14ac:dyDescent="0.3">
      <c r="A7" s="1" t="s">
        <v>103</v>
      </c>
      <c r="B7" s="1" t="s">
        <v>104</v>
      </c>
      <c r="C7" s="15" t="s">
        <v>105</v>
      </c>
      <c r="D7" s="15" t="s">
        <v>94</v>
      </c>
      <c r="E7" s="15" t="s">
        <v>100</v>
      </c>
      <c r="F7" s="15" t="s">
        <v>100</v>
      </c>
      <c r="G7" s="1" t="s">
        <v>106</v>
      </c>
      <c r="H7" s="1" t="s">
        <v>107</v>
      </c>
    </row>
    <row r="8" spans="1:9" ht="37.5" customHeight="1" x14ac:dyDescent="0.3">
      <c r="A8" s="2" t="s">
        <v>108</v>
      </c>
      <c r="B8" s="2" t="s">
        <v>104</v>
      </c>
      <c r="C8" s="14" t="s">
        <v>109</v>
      </c>
      <c r="D8" s="14" t="s">
        <v>110</v>
      </c>
      <c r="E8" s="14" t="s">
        <v>100</v>
      </c>
      <c r="F8" s="14" t="s">
        <v>100</v>
      </c>
      <c r="G8" s="2" t="s">
        <v>111</v>
      </c>
      <c r="H8" s="2" t="s">
        <v>112</v>
      </c>
    </row>
    <row r="9" spans="1:9" ht="37.5" customHeight="1" x14ac:dyDescent="0.3">
      <c r="A9" s="1" t="s">
        <v>113</v>
      </c>
      <c r="B9" s="1" t="s">
        <v>114</v>
      </c>
      <c r="C9" s="15" t="s">
        <v>115</v>
      </c>
      <c r="D9" s="15" t="s">
        <v>100</v>
      </c>
      <c r="E9" s="15" t="s">
        <v>116</v>
      </c>
      <c r="F9" s="15" t="s">
        <v>100</v>
      </c>
      <c r="G9" s="1" t="s">
        <v>117</v>
      </c>
      <c r="H9" s="1" t="s">
        <v>118</v>
      </c>
    </row>
    <row r="10" spans="1:9" ht="37.5" customHeight="1" x14ac:dyDescent="0.3">
      <c r="A10" s="2" t="s">
        <v>119</v>
      </c>
      <c r="B10" s="2" t="s">
        <v>120</v>
      </c>
      <c r="C10" s="14" t="s">
        <v>121</v>
      </c>
      <c r="D10" s="14" t="s">
        <v>94</v>
      </c>
      <c r="E10" s="14" t="s">
        <v>100</v>
      </c>
      <c r="F10" s="14" t="s">
        <v>100</v>
      </c>
      <c r="G10" s="2" t="s">
        <v>122</v>
      </c>
      <c r="H10" s="2" t="s">
        <v>123</v>
      </c>
    </row>
    <row r="12" spans="1:9" ht="15" customHeight="1" x14ac:dyDescent="0.3">
      <c r="A12" s="95" t="s">
        <v>124</v>
      </c>
      <c r="B12" s="95"/>
      <c r="C12" s="95"/>
      <c r="D12" s="95"/>
      <c r="E12" s="95"/>
      <c r="F12" s="95"/>
      <c r="G12" s="95"/>
      <c r="H12" s="95"/>
    </row>
    <row r="13" spans="1:9" ht="15" customHeight="1" x14ac:dyDescent="0.3">
      <c r="A13" s="3" t="s">
        <v>125</v>
      </c>
      <c r="B13" s="7" t="s">
        <v>126</v>
      </c>
      <c r="C13" s="7" t="s">
        <v>127</v>
      </c>
      <c r="D13" s="7" t="s">
        <v>97</v>
      </c>
      <c r="E13" s="7" t="s">
        <v>128</v>
      </c>
      <c r="F13" s="7" t="s">
        <v>129</v>
      </c>
      <c r="G13" s="7" t="s">
        <v>130</v>
      </c>
      <c r="H13" s="7" t="s">
        <v>131</v>
      </c>
    </row>
    <row r="14" spans="1:9" ht="15" customHeight="1" x14ac:dyDescent="0.3">
      <c r="A14" s="4" t="s">
        <v>132</v>
      </c>
      <c r="B14" s="16">
        <v>0.2</v>
      </c>
      <c r="C14" s="17">
        <v>4</v>
      </c>
      <c r="D14" s="17">
        <v>5</v>
      </c>
      <c r="E14" s="17">
        <v>5</v>
      </c>
      <c r="F14" s="17">
        <v>4</v>
      </c>
      <c r="G14" s="17">
        <v>5</v>
      </c>
      <c r="H14" s="17">
        <v>2</v>
      </c>
      <c r="I14" s="17">
        <v>3</v>
      </c>
    </row>
    <row r="15" spans="1:9" ht="15" customHeight="1" x14ac:dyDescent="0.3">
      <c r="A15" s="6" t="s">
        <v>133</v>
      </c>
      <c r="B15" s="18">
        <v>0.2</v>
      </c>
      <c r="C15" s="19">
        <v>3</v>
      </c>
      <c r="D15" s="19">
        <v>5</v>
      </c>
      <c r="E15" s="19">
        <v>2</v>
      </c>
      <c r="F15" s="19">
        <v>5</v>
      </c>
      <c r="G15" s="19">
        <v>2</v>
      </c>
      <c r="H15" s="19">
        <v>5</v>
      </c>
      <c r="I15" s="19">
        <v>4</v>
      </c>
    </row>
    <row r="16" spans="1:9" ht="15" customHeight="1" x14ac:dyDescent="0.3">
      <c r="A16" s="4" t="s">
        <v>134</v>
      </c>
      <c r="B16" s="16">
        <v>0.15</v>
      </c>
      <c r="C16" s="17">
        <v>3</v>
      </c>
      <c r="D16" s="17">
        <v>4</v>
      </c>
      <c r="E16" s="17">
        <v>2</v>
      </c>
      <c r="F16" s="17">
        <v>4</v>
      </c>
      <c r="G16" s="17">
        <v>3</v>
      </c>
      <c r="H16" s="17">
        <v>4</v>
      </c>
      <c r="I16" s="17">
        <v>4</v>
      </c>
    </row>
    <row r="17" spans="1:9" ht="15" customHeight="1" x14ac:dyDescent="0.3">
      <c r="A17" s="6" t="s">
        <v>135</v>
      </c>
      <c r="B17" s="18">
        <v>0.15</v>
      </c>
      <c r="C17" s="19">
        <v>4</v>
      </c>
      <c r="D17" s="19">
        <v>2</v>
      </c>
      <c r="E17" s="19">
        <v>2</v>
      </c>
      <c r="F17" s="19">
        <v>3</v>
      </c>
      <c r="G17" s="19">
        <v>3</v>
      </c>
      <c r="H17" s="19">
        <v>3</v>
      </c>
      <c r="I17" s="19">
        <v>2</v>
      </c>
    </row>
    <row r="18" spans="1:9" ht="15" customHeight="1" x14ac:dyDescent="0.3">
      <c r="A18" s="4" t="s">
        <v>136</v>
      </c>
      <c r="B18" s="16">
        <v>0.15</v>
      </c>
      <c r="C18" s="17">
        <v>5</v>
      </c>
      <c r="D18" s="17">
        <v>1</v>
      </c>
      <c r="E18" s="17">
        <v>3</v>
      </c>
      <c r="F18" s="17">
        <v>1</v>
      </c>
      <c r="G18" s="17">
        <v>2</v>
      </c>
      <c r="H18" s="17">
        <v>1</v>
      </c>
      <c r="I18" s="17">
        <v>1</v>
      </c>
    </row>
    <row r="19" spans="1:9" ht="15" customHeight="1" x14ac:dyDescent="0.3">
      <c r="A19" s="6" t="s">
        <v>137</v>
      </c>
      <c r="B19" s="18">
        <v>0.1</v>
      </c>
      <c r="C19" s="19">
        <v>2</v>
      </c>
      <c r="D19" s="19">
        <v>4</v>
      </c>
      <c r="E19" s="19">
        <v>2</v>
      </c>
      <c r="F19" s="19">
        <v>5</v>
      </c>
      <c r="G19" s="19">
        <v>2</v>
      </c>
      <c r="H19" s="19">
        <v>5</v>
      </c>
      <c r="I19" s="19">
        <v>4</v>
      </c>
    </row>
    <row r="20" spans="1:9" ht="15" customHeight="1" x14ac:dyDescent="0.3">
      <c r="A20" s="4" t="s">
        <v>138</v>
      </c>
      <c r="B20" s="16">
        <v>0.05</v>
      </c>
    </row>
    <row r="21" spans="1:9" ht="15" customHeight="1" x14ac:dyDescent="0.3">
      <c r="A21" s="11" t="s">
        <v>139</v>
      </c>
      <c r="B21" s="20" t="s">
        <v>140</v>
      </c>
      <c r="C21" s="21">
        <f t="shared" ref="C21:H21" si="0">SUMPRODUCT(C14:C20,$B$14:$B$20)</f>
        <v>3.4000000000000004</v>
      </c>
      <c r="D21" s="21">
        <f t="shared" si="0"/>
        <v>3.4499999999999997</v>
      </c>
      <c r="E21" s="21">
        <f t="shared" si="0"/>
        <v>2.6500000000000004</v>
      </c>
      <c r="F21" s="21">
        <f t="shared" si="0"/>
        <v>3.4999999999999996</v>
      </c>
      <c r="G21" s="21">
        <f t="shared" si="0"/>
        <v>2.8</v>
      </c>
      <c r="H21" s="21">
        <f t="shared" si="0"/>
        <v>3.1</v>
      </c>
    </row>
  </sheetData>
  <mergeCells count="3">
    <mergeCell ref="A1:H1"/>
    <mergeCell ref="A3:H3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38" customWidth="1"/>
    <col min="2" max="6" width="12" customWidth="1"/>
    <col min="7" max="7" width="28" customWidth="1"/>
  </cols>
  <sheetData>
    <row r="1" spans="1:7" ht="15" customHeight="1" x14ac:dyDescent="0.3">
      <c r="A1" s="94" t="s">
        <v>141</v>
      </c>
      <c r="B1" s="94"/>
      <c r="C1" s="94"/>
      <c r="D1" s="94"/>
    </row>
    <row r="2" spans="1:7" ht="15" customHeight="1" x14ac:dyDescent="0.3">
      <c r="A2" s="103" t="s">
        <v>142</v>
      </c>
      <c r="B2" s="103"/>
      <c r="C2" s="103"/>
      <c r="D2" s="103"/>
    </row>
    <row r="4" spans="1:7" ht="15" customHeight="1" x14ac:dyDescent="0.3">
      <c r="A4" s="95" t="s">
        <v>143</v>
      </c>
      <c r="B4" s="95"/>
      <c r="C4" s="95"/>
      <c r="D4" s="95"/>
    </row>
    <row r="5" spans="1:7" ht="45.75" customHeight="1" x14ac:dyDescent="0.3">
      <c r="A5" s="4" t="s">
        <v>144</v>
      </c>
      <c r="B5" s="23">
        <v>3999</v>
      </c>
      <c r="C5" s="24" t="s">
        <v>145</v>
      </c>
      <c r="D5" s="25" t="s">
        <v>146</v>
      </c>
    </row>
    <row r="6" spans="1:7" ht="45.75" customHeight="1" x14ac:dyDescent="0.3">
      <c r="A6" s="4" t="s">
        <v>147</v>
      </c>
      <c r="B6" s="23">
        <v>3499</v>
      </c>
      <c r="C6" s="24" t="s">
        <v>145</v>
      </c>
      <c r="D6" s="25" t="s">
        <v>148</v>
      </c>
    </row>
    <row r="7" spans="1:7" ht="45.75" customHeight="1" x14ac:dyDescent="0.3">
      <c r="A7" s="4" t="s">
        <v>149</v>
      </c>
      <c r="B7" s="23">
        <v>799</v>
      </c>
      <c r="C7" s="24" t="s">
        <v>145</v>
      </c>
      <c r="D7" s="25" t="s">
        <v>150</v>
      </c>
    </row>
    <row r="8" spans="1:7" ht="45.75" customHeight="1" x14ac:dyDescent="0.3">
      <c r="A8" s="4" t="s">
        <v>151</v>
      </c>
      <c r="B8" s="23">
        <v>1800</v>
      </c>
      <c r="C8" s="24" t="s">
        <v>145</v>
      </c>
      <c r="D8" s="25" t="s">
        <v>152</v>
      </c>
    </row>
    <row r="9" spans="1:7" ht="23.25" customHeight="1" x14ac:dyDescent="0.3">
      <c r="A9" s="4" t="s">
        <v>153</v>
      </c>
      <c r="B9" s="23">
        <v>220</v>
      </c>
      <c r="C9" s="24" t="s">
        <v>145</v>
      </c>
      <c r="D9" s="25" t="s">
        <v>154</v>
      </c>
    </row>
    <row r="10" spans="1:7" ht="34.5" customHeight="1" x14ac:dyDescent="0.3">
      <c r="A10" s="4" t="s">
        <v>155</v>
      </c>
      <c r="B10" s="23">
        <v>180</v>
      </c>
      <c r="C10" s="24" t="s">
        <v>145</v>
      </c>
      <c r="D10" s="25" t="s">
        <v>156</v>
      </c>
    </row>
    <row r="11" spans="1:7" ht="34.5" customHeight="1" x14ac:dyDescent="0.3">
      <c r="A11" s="4" t="s">
        <v>157</v>
      </c>
      <c r="B11" s="26">
        <v>0.02</v>
      </c>
      <c r="C11" s="24" t="s">
        <v>158</v>
      </c>
      <c r="D11" s="25" t="s">
        <v>159</v>
      </c>
    </row>
    <row r="13" spans="1:7" ht="15" customHeight="1" x14ac:dyDescent="0.3">
      <c r="A13" s="95" t="s">
        <v>160</v>
      </c>
      <c r="B13" s="95"/>
      <c r="C13" s="95"/>
      <c r="D13" s="95"/>
    </row>
    <row r="14" spans="1:7" ht="15" customHeight="1" x14ac:dyDescent="0.3">
      <c r="A14" s="7"/>
      <c r="B14" s="7" t="s">
        <v>161</v>
      </c>
      <c r="C14" s="7" t="s">
        <v>162</v>
      </c>
      <c r="D14" s="7" t="s">
        <v>163</v>
      </c>
      <c r="E14" s="7" t="s">
        <v>164</v>
      </c>
      <c r="F14" s="7" t="s">
        <v>165</v>
      </c>
    </row>
    <row r="15" spans="1:7" ht="23.25" customHeight="1" x14ac:dyDescent="0.3">
      <c r="A15" s="4" t="s">
        <v>166</v>
      </c>
      <c r="B15" s="23">
        <v>500</v>
      </c>
      <c r="C15" s="23">
        <v>1200</v>
      </c>
      <c r="D15" s="23">
        <v>2500</v>
      </c>
      <c r="E15" s="23">
        <v>4200</v>
      </c>
      <c r="F15" s="23">
        <v>6800</v>
      </c>
      <c r="G15" s="25" t="s">
        <v>167</v>
      </c>
    </row>
    <row r="16" spans="1:7" ht="23.25" customHeight="1" x14ac:dyDescent="0.3">
      <c r="A16" s="4" t="s">
        <v>168</v>
      </c>
      <c r="B16" s="23">
        <v>200</v>
      </c>
      <c r="C16" s="23">
        <v>600</v>
      </c>
      <c r="D16" s="23">
        <v>1400</v>
      </c>
      <c r="E16" s="23">
        <v>2600</v>
      </c>
      <c r="F16" s="23">
        <v>4200</v>
      </c>
      <c r="G16" s="25" t="s">
        <v>167</v>
      </c>
    </row>
    <row r="17" spans="1:7" ht="23.25" customHeight="1" x14ac:dyDescent="0.3">
      <c r="A17" s="4" t="s">
        <v>169</v>
      </c>
      <c r="B17" s="23">
        <v>0</v>
      </c>
      <c r="C17" s="23">
        <v>500</v>
      </c>
      <c r="D17" s="23">
        <v>1400</v>
      </c>
      <c r="E17" s="23">
        <v>3200</v>
      </c>
      <c r="F17" s="23">
        <v>6400</v>
      </c>
      <c r="G17" s="25" t="s">
        <v>167</v>
      </c>
    </row>
    <row r="18" spans="1:7" ht="23.25" customHeight="1" x14ac:dyDescent="0.3">
      <c r="A18" s="4" t="s">
        <v>170</v>
      </c>
      <c r="B18" s="26">
        <v>0</v>
      </c>
      <c r="C18" s="26">
        <v>0.03</v>
      </c>
      <c r="D18" s="26">
        <v>0.03</v>
      </c>
      <c r="E18" s="26">
        <v>0.05</v>
      </c>
      <c r="F18" s="26">
        <v>0.05</v>
      </c>
      <c r="G18" s="25" t="s">
        <v>167</v>
      </c>
    </row>
    <row r="19" spans="1:7" ht="23.25" customHeight="1" x14ac:dyDescent="0.3">
      <c r="A19" s="4" t="s">
        <v>171</v>
      </c>
      <c r="B19" s="26">
        <v>0</v>
      </c>
      <c r="C19" s="26">
        <v>0.02</v>
      </c>
      <c r="D19" s="26">
        <v>0.02</v>
      </c>
      <c r="E19" s="26">
        <v>0.03</v>
      </c>
      <c r="F19" s="26">
        <v>0.03</v>
      </c>
      <c r="G19" s="25" t="s">
        <v>167</v>
      </c>
    </row>
    <row r="21" spans="1:7" ht="15" customHeight="1" x14ac:dyDescent="0.3">
      <c r="A21" s="95" t="s">
        <v>172</v>
      </c>
      <c r="B21" s="95"/>
      <c r="C21" s="95"/>
      <c r="D21" s="95"/>
    </row>
    <row r="22" spans="1:7" ht="15" customHeight="1" x14ac:dyDescent="0.3">
      <c r="A22" s="4" t="s">
        <v>173</v>
      </c>
      <c r="B22" s="27">
        <v>12</v>
      </c>
      <c r="C22" s="24" t="s">
        <v>174</v>
      </c>
      <c r="G22" s="25" t="s">
        <v>175</v>
      </c>
    </row>
    <row r="23" spans="1:7" ht="15" customHeight="1" x14ac:dyDescent="0.3">
      <c r="A23" s="4" t="s">
        <v>176</v>
      </c>
      <c r="B23" s="26">
        <v>0.15</v>
      </c>
      <c r="C23" s="24" t="s">
        <v>158</v>
      </c>
      <c r="G23" s="25" t="s">
        <v>177</v>
      </c>
    </row>
    <row r="24" spans="1:7" ht="15" customHeight="1" x14ac:dyDescent="0.3">
      <c r="A24" s="4" t="s">
        <v>178</v>
      </c>
      <c r="B24" s="27">
        <v>8</v>
      </c>
      <c r="C24" s="24" t="s">
        <v>174</v>
      </c>
      <c r="G24" s="25" t="s">
        <v>179</v>
      </c>
    </row>
    <row r="25" spans="1:7" ht="15" customHeight="1" x14ac:dyDescent="0.3">
      <c r="A25" s="4" t="s">
        <v>180</v>
      </c>
      <c r="B25" s="26">
        <v>0.2</v>
      </c>
      <c r="C25" s="24" t="s">
        <v>158</v>
      </c>
      <c r="G25" s="25" t="s">
        <v>181</v>
      </c>
    </row>
    <row r="26" spans="1:7" ht="15" customHeight="1" x14ac:dyDescent="0.3">
      <c r="A26" s="4" t="s">
        <v>182</v>
      </c>
      <c r="B26" s="27">
        <v>5</v>
      </c>
      <c r="C26" s="24" t="s">
        <v>174</v>
      </c>
      <c r="G26" s="25" t="s">
        <v>183</v>
      </c>
    </row>
    <row r="27" spans="1:7" ht="15" customHeight="1" x14ac:dyDescent="0.3">
      <c r="A27" s="4" t="s">
        <v>184</v>
      </c>
      <c r="B27" s="27">
        <v>4</v>
      </c>
      <c r="C27" s="24" t="s">
        <v>174</v>
      </c>
      <c r="G27" s="25" t="s">
        <v>185</v>
      </c>
    </row>
    <row r="28" spans="1:7" ht="15" customHeight="1" x14ac:dyDescent="0.3">
      <c r="A28" s="4" t="s">
        <v>186</v>
      </c>
      <c r="B28" s="26">
        <v>0.08</v>
      </c>
      <c r="C28" s="24" t="s">
        <v>158</v>
      </c>
      <c r="G28" s="25" t="s">
        <v>187</v>
      </c>
    </row>
    <row r="29" spans="1:7" ht="15" customHeight="1" x14ac:dyDescent="0.3">
      <c r="A29" s="4" t="s">
        <v>188</v>
      </c>
      <c r="B29" s="27">
        <v>5</v>
      </c>
      <c r="C29" s="24" t="s">
        <v>189</v>
      </c>
      <c r="G29" s="25" t="s">
        <v>190</v>
      </c>
    </row>
    <row r="30" spans="1:7" ht="15" customHeight="1" x14ac:dyDescent="0.3">
      <c r="A30" s="4" t="s">
        <v>191</v>
      </c>
      <c r="B30" s="27">
        <v>3</v>
      </c>
      <c r="C30" s="24" t="s">
        <v>189</v>
      </c>
      <c r="G30" s="25" t="s">
        <v>192</v>
      </c>
    </row>
    <row r="31" spans="1:7" ht="15" customHeight="1" x14ac:dyDescent="0.3">
      <c r="A31" s="4" t="s">
        <v>193</v>
      </c>
      <c r="B31" s="27">
        <v>5</v>
      </c>
      <c r="C31" s="24" t="s">
        <v>189</v>
      </c>
      <c r="G31" s="25" t="s">
        <v>194</v>
      </c>
    </row>
    <row r="33" spans="1:7" ht="15" customHeight="1" x14ac:dyDescent="0.3">
      <c r="A33" s="95" t="s">
        <v>195</v>
      </c>
      <c r="B33" s="95"/>
      <c r="C33" s="95"/>
      <c r="D33" s="95"/>
    </row>
    <row r="34" spans="1:7" ht="15" customHeight="1" x14ac:dyDescent="0.3">
      <c r="A34" s="4" t="s">
        <v>196</v>
      </c>
      <c r="B34" s="26">
        <v>0.25</v>
      </c>
      <c r="C34" s="24" t="s">
        <v>158</v>
      </c>
      <c r="G34" s="25" t="s">
        <v>197</v>
      </c>
    </row>
    <row r="35" spans="1:7" ht="15" customHeight="1" x14ac:dyDescent="0.3">
      <c r="A35" s="4" t="s">
        <v>198</v>
      </c>
      <c r="B35" s="26">
        <v>0.18</v>
      </c>
      <c r="C35" s="24" t="s">
        <v>158</v>
      </c>
      <c r="G35" s="25" t="s">
        <v>199</v>
      </c>
    </row>
    <row r="36" spans="1:7" ht="15" customHeight="1" x14ac:dyDescent="0.3">
      <c r="A36" s="4" t="s">
        <v>200</v>
      </c>
      <c r="B36" s="26">
        <v>0.18</v>
      </c>
      <c r="C36" s="24" t="s">
        <v>158</v>
      </c>
      <c r="G36" s="25" t="s">
        <v>201</v>
      </c>
    </row>
    <row r="37" spans="1:7" ht="15" customHeight="1" x14ac:dyDescent="0.3">
      <c r="A37" s="4" t="s">
        <v>202</v>
      </c>
      <c r="B37" s="26">
        <v>0.06</v>
      </c>
      <c r="C37" s="24" t="s">
        <v>158</v>
      </c>
      <c r="G37" s="25" t="s">
        <v>203</v>
      </c>
    </row>
    <row r="38" spans="1:7" ht="15" customHeight="1" x14ac:dyDescent="0.3">
      <c r="A38" s="4" t="s">
        <v>204</v>
      </c>
      <c r="B38" s="26">
        <v>7.2999999999999995E-2</v>
      </c>
      <c r="C38" s="24" t="s">
        <v>158</v>
      </c>
      <c r="G38" s="25" t="s">
        <v>205</v>
      </c>
    </row>
    <row r="39" spans="1:7" ht="15" customHeight="1" x14ac:dyDescent="0.3">
      <c r="A39" s="4" t="s">
        <v>206</v>
      </c>
      <c r="B39" s="26">
        <v>6.5000000000000002E-2</v>
      </c>
      <c r="C39" s="24" t="s">
        <v>158</v>
      </c>
      <c r="G39" s="25" t="s">
        <v>207</v>
      </c>
    </row>
    <row r="40" spans="1:7" ht="15" customHeight="1" x14ac:dyDescent="0.3">
      <c r="A40" s="4" t="s">
        <v>208</v>
      </c>
      <c r="B40" s="28">
        <v>1.35</v>
      </c>
      <c r="C40" s="24" t="s">
        <v>209</v>
      </c>
      <c r="G40" s="25" t="s">
        <v>210</v>
      </c>
    </row>
    <row r="41" spans="1:7" ht="15" customHeight="1" x14ac:dyDescent="0.3">
      <c r="A41" s="4" t="s">
        <v>211</v>
      </c>
      <c r="B41" s="26">
        <v>0.12</v>
      </c>
      <c r="C41" s="24" t="s">
        <v>158</v>
      </c>
      <c r="G41" s="25" t="s">
        <v>212</v>
      </c>
    </row>
    <row r="42" spans="1:7" ht="15" customHeight="1" x14ac:dyDescent="0.3">
      <c r="A42" s="4" t="s">
        <v>213</v>
      </c>
      <c r="B42" s="26">
        <v>0.04</v>
      </c>
      <c r="C42" s="24" t="s">
        <v>158</v>
      </c>
      <c r="G42" s="25" t="s">
        <v>214</v>
      </c>
    </row>
  </sheetData>
  <mergeCells count="6">
    <mergeCell ref="A33:D33"/>
    <mergeCell ref="A1:D1"/>
    <mergeCell ref="A2:D2"/>
    <mergeCell ref="A4:D4"/>
    <mergeCell ref="A13:D13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36" customWidth="1"/>
    <col min="2" max="2" width="18" customWidth="1"/>
    <col min="3" max="6" width="14" customWidth="1"/>
    <col min="7" max="7" width="18" customWidth="1"/>
  </cols>
  <sheetData>
    <row r="1" spans="1:7" ht="15" customHeight="1" x14ac:dyDescent="0.3">
      <c r="A1" s="94" t="s">
        <v>215</v>
      </c>
      <c r="B1" s="94"/>
      <c r="C1" s="94"/>
      <c r="D1" s="94"/>
      <c r="E1" s="94"/>
      <c r="F1" s="94"/>
      <c r="G1" s="94"/>
    </row>
    <row r="3" spans="1:7" ht="15" customHeight="1" x14ac:dyDescent="0.3">
      <c r="A3" s="95" t="s">
        <v>216</v>
      </c>
      <c r="B3" s="95"/>
      <c r="C3" s="95"/>
      <c r="D3" s="95"/>
      <c r="E3" s="95"/>
      <c r="F3" s="95"/>
      <c r="G3" s="95"/>
    </row>
    <row r="4" spans="1:7" ht="15" customHeight="1" x14ac:dyDescent="0.3">
      <c r="A4" s="7" t="s">
        <v>217</v>
      </c>
      <c r="B4" s="7" t="s">
        <v>218</v>
      </c>
      <c r="C4" s="7" t="s">
        <v>219</v>
      </c>
      <c r="D4" s="7" t="s">
        <v>220</v>
      </c>
      <c r="E4" s="7" t="s">
        <v>221</v>
      </c>
      <c r="F4" s="7" t="s">
        <v>222</v>
      </c>
      <c r="G4" s="7" t="s">
        <v>223</v>
      </c>
    </row>
    <row r="5" spans="1:7" ht="23.25" customHeight="1" x14ac:dyDescent="0.3">
      <c r="A5" s="6" t="s">
        <v>224</v>
      </c>
      <c r="B5" s="20" t="s">
        <v>225</v>
      </c>
      <c r="C5" s="29">
        <v>1</v>
      </c>
      <c r="D5" s="23">
        <v>200000</v>
      </c>
      <c r="E5" s="30">
        <v>2</v>
      </c>
      <c r="F5" s="20" t="s">
        <v>226</v>
      </c>
      <c r="G5" s="1" t="s">
        <v>227</v>
      </c>
    </row>
    <row r="6" spans="1:7" ht="15" customHeight="1" x14ac:dyDescent="0.3">
      <c r="A6" s="4" t="s">
        <v>228</v>
      </c>
      <c r="B6" s="24" t="s">
        <v>225</v>
      </c>
      <c r="C6" s="31">
        <v>1</v>
      </c>
      <c r="D6" s="32">
        <v>150000</v>
      </c>
      <c r="E6" s="33">
        <v>1.5</v>
      </c>
      <c r="F6" s="24" t="s">
        <v>229</v>
      </c>
      <c r="G6" s="2" t="s">
        <v>230</v>
      </c>
    </row>
    <row r="7" spans="1:7" ht="15" customHeight="1" x14ac:dyDescent="0.3">
      <c r="A7" s="6" t="s">
        <v>231</v>
      </c>
      <c r="B7" s="20" t="s">
        <v>225</v>
      </c>
      <c r="C7" s="29">
        <v>5</v>
      </c>
      <c r="D7" s="23">
        <v>40000</v>
      </c>
      <c r="E7" s="30">
        <v>2</v>
      </c>
      <c r="F7" s="20" t="s">
        <v>232</v>
      </c>
      <c r="G7" s="1" t="s">
        <v>233</v>
      </c>
    </row>
    <row r="8" spans="1:7" ht="23.25" customHeight="1" x14ac:dyDescent="0.3">
      <c r="A8" s="4" t="s">
        <v>234</v>
      </c>
      <c r="B8" s="24" t="s">
        <v>235</v>
      </c>
      <c r="C8" s="31">
        <v>1</v>
      </c>
      <c r="D8" s="32">
        <v>300000</v>
      </c>
      <c r="E8" s="33">
        <v>3</v>
      </c>
      <c r="F8" s="24" t="s">
        <v>226</v>
      </c>
      <c r="G8" s="2" t="s">
        <v>236</v>
      </c>
    </row>
    <row r="9" spans="1:7" ht="23.25" customHeight="1" x14ac:dyDescent="0.3">
      <c r="A9" s="6" t="s">
        <v>237</v>
      </c>
      <c r="B9" s="20" t="s">
        <v>225</v>
      </c>
      <c r="C9" s="29">
        <v>1</v>
      </c>
      <c r="D9" s="23">
        <v>250000</v>
      </c>
      <c r="E9" s="30">
        <v>2.5</v>
      </c>
      <c r="F9" s="20" t="s">
        <v>238</v>
      </c>
      <c r="G9" s="1" t="s">
        <v>239</v>
      </c>
    </row>
    <row r="10" spans="1:7" ht="23.25" customHeight="1" x14ac:dyDescent="0.3">
      <c r="A10" s="4" t="s">
        <v>240</v>
      </c>
      <c r="B10" s="24" t="s">
        <v>225</v>
      </c>
      <c r="C10" s="31">
        <v>1</v>
      </c>
      <c r="D10" s="32">
        <v>120000</v>
      </c>
      <c r="E10" s="33">
        <v>1.2</v>
      </c>
      <c r="F10" s="24" t="s">
        <v>238</v>
      </c>
      <c r="G10" s="2" t="s">
        <v>241</v>
      </c>
    </row>
    <row r="11" spans="1:7" ht="23.25" customHeight="1" x14ac:dyDescent="0.3">
      <c r="A11" s="6" t="s">
        <v>242</v>
      </c>
      <c r="B11" s="20" t="s">
        <v>225</v>
      </c>
      <c r="C11" s="29">
        <v>1</v>
      </c>
      <c r="D11" s="23">
        <v>180000</v>
      </c>
      <c r="E11" s="30">
        <v>1.8</v>
      </c>
      <c r="F11" s="20" t="s">
        <v>238</v>
      </c>
      <c r="G11" s="1" t="s">
        <v>243</v>
      </c>
    </row>
    <row r="12" spans="1:7" ht="23.25" customHeight="1" x14ac:dyDescent="0.3">
      <c r="A12" s="4" t="s">
        <v>244</v>
      </c>
      <c r="B12" s="24" t="s">
        <v>245</v>
      </c>
      <c r="C12" s="31">
        <v>1</v>
      </c>
      <c r="D12" s="32">
        <v>200000</v>
      </c>
      <c r="E12" s="33">
        <v>2</v>
      </c>
      <c r="F12" s="24" t="s">
        <v>238</v>
      </c>
      <c r="G12" s="2" t="s">
        <v>246</v>
      </c>
    </row>
    <row r="13" spans="1:7" ht="23.25" customHeight="1" x14ac:dyDescent="0.3">
      <c r="A13" s="6" t="s">
        <v>247</v>
      </c>
      <c r="B13" s="20" t="s">
        <v>248</v>
      </c>
      <c r="C13" s="29">
        <v>500</v>
      </c>
      <c r="D13" s="23">
        <v>2200</v>
      </c>
      <c r="E13" s="30">
        <v>11</v>
      </c>
      <c r="F13" s="20" t="s">
        <v>232</v>
      </c>
      <c r="G13" s="1" t="s">
        <v>249</v>
      </c>
    </row>
    <row r="14" spans="1:7" ht="23.25" customHeight="1" x14ac:dyDescent="0.3">
      <c r="A14" s="4" t="s">
        <v>250</v>
      </c>
      <c r="B14" s="24" t="s">
        <v>248</v>
      </c>
      <c r="C14" s="31">
        <v>1</v>
      </c>
      <c r="D14" s="32">
        <v>500000</v>
      </c>
      <c r="E14" s="33">
        <v>5</v>
      </c>
      <c r="F14" s="24" t="s">
        <v>232</v>
      </c>
      <c r="G14" s="2" t="s">
        <v>251</v>
      </c>
    </row>
    <row r="15" spans="1:7" ht="23.25" customHeight="1" x14ac:dyDescent="0.3">
      <c r="A15" s="6" t="s">
        <v>252</v>
      </c>
      <c r="B15" s="20" t="s">
        <v>253</v>
      </c>
      <c r="C15" s="29">
        <v>1</v>
      </c>
      <c r="D15" s="23">
        <v>300000</v>
      </c>
      <c r="E15" s="30">
        <v>3</v>
      </c>
      <c r="F15" s="20" t="s">
        <v>232</v>
      </c>
      <c r="G15" s="1" t="s">
        <v>254</v>
      </c>
    </row>
    <row r="16" spans="1:7" ht="15" customHeight="1" x14ac:dyDescent="0.3">
      <c r="A16" s="4" t="s">
        <v>255</v>
      </c>
      <c r="B16" s="24" t="s">
        <v>256</v>
      </c>
      <c r="C16" s="31">
        <v>1</v>
      </c>
      <c r="D16" s="32">
        <v>0</v>
      </c>
      <c r="E16" s="34">
        <f>SUM(E5:E15)*0.1</f>
        <v>3.5</v>
      </c>
      <c r="F16" s="24" t="s">
        <v>232</v>
      </c>
      <c r="G16" s="25" t="s">
        <v>257</v>
      </c>
    </row>
    <row r="17" spans="1:7" ht="15" customHeight="1" x14ac:dyDescent="0.3">
      <c r="A17" s="35" t="s">
        <v>258</v>
      </c>
      <c r="B17" s="36"/>
      <c r="C17" s="36"/>
      <c r="D17" s="36"/>
      <c r="E17" s="37">
        <f>SUM(E5:E16)</f>
        <v>38.5</v>
      </c>
      <c r="F17" s="36"/>
      <c r="G17" s="35" t="s">
        <v>259</v>
      </c>
    </row>
    <row r="20" spans="1:7" ht="15" customHeight="1" x14ac:dyDescent="0.3">
      <c r="A20" s="95" t="s">
        <v>260</v>
      </c>
      <c r="B20" s="95"/>
      <c r="C20" s="95"/>
      <c r="D20" s="95"/>
      <c r="E20" s="95"/>
      <c r="F20" s="95"/>
      <c r="G20" s="95"/>
    </row>
    <row r="21" spans="1:7" ht="15" customHeight="1" x14ac:dyDescent="0.3">
      <c r="A21" s="7" t="s">
        <v>217</v>
      </c>
      <c r="B21" s="7" t="s">
        <v>261</v>
      </c>
      <c r="C21" s="7" t="s">
        <v>262</v>
      </c>
      <c r="D21" s="7" t="s">
        <v>263</v>
      </c>
      <c r="E21" s="7"/>
      <c r="F21" s="7"/>
      <c r="G21" s="7"/>
    </row>
    <row r="22" spans="1:7" ht="15" customHeight="1" x14ac:dyDescent="0.3">
      <c r="A22" s="4" t="s">
        <v>264</v>
      </c>
      <c r="B22" s="24" t="s">
        <v>265</v>
      </c>
      <c r="C22" s="33">
        <v>15</v>
      </c>
      <c r="D22" s="101" t="s">
        <v>266</v>
      </c>
      <c r="E22" s="101"/>
      <c r="F22" s="101"/>
      <c r="G22" s="101"/>
    </row>
    <row r="23" spans="1:7" ht="15" customHeight="1" x14ac:dyDescent="0.3">
      <c r="A23" s="6" t="s">
        <v>267</v>
      </c>
      <c r="B23" s="20" t="s">
        <v>265</v>
      </c>
      <c r="C23" s="30">
        <v>6</v>
      </c>
      <c r="D23" s="102" t="s">
        <v>268</v>
      </c>
      <c r="E23" s="102"/>
      <c r="F23" s="102"/>
      <c r="G23" s="102"/>
    </row>
    <row r="24" spans="1:7" ht="15" customHeight="1" x14ac:dyDescent="0.3">
      <c r="A24" s="4" t="s">
        <v>269</v>
      </c>
      <c r="B24" s="24" t="s">
        <v>265</v>
      </c>
      <c r="C24" s="33">
        <v>8</v>
      </c>
      <c r="D24" s="101" t="s">
        <v>270</v>
      </c>
      <c r="E24" s="101"/>
      <c r="F24" s="101"/>
      <c r="G24" s="101"/>
    </row>
    <row r="25" spans="1:7" ht="15" customHeight="1" x14ac:dyDescent="0.3">
      <c r="A25" s="6" t="s">
        <v>271</v>
      </c>
      <c r="B25" s="20" t="s">
        <v>272</v>
      </c>
      <c r="C25" s="30">
        <v>10</v>
      </c>
      <c r="D25" s="102" t="s">
        <v>273</v>
      </c>
      <c r="E25" s="102"/>
      <c r="F25" s="102"/>
      <c r="G25" s="102"/>
    </row>
    <row r="26" spans="1:7" ht="15" customHeight="1" x14ac:dyDescent="0.3">
      <c r="A26" s="4" t="s">
        <v>274</v>
      </c>
      <c r="B26" s="24" t="s">
        <v>272</v>
      </c>
      <c r="C26" s="33">
        <v>3</v>
      </c>
      <c r="D26" s="101" t="s">
        <v>275</v>
      </c>
      <c r="E26" s="101"/>
      <c r="F26" s="101"/>
      <c r="G26" s="101"/>
    </row>
    <row r="27" spans="1:7" ht="15" customHeight="1" x14ac:dyDescent="0.3">
      <c r="A27" s="6" t="s">
        <v>276</v>
      </c>
      <c r="B27" s="20" t="s">
        <v>272</v>
      </c>
      <c r="C27" s="30">
        <v>12</v>
      </c>
      <c r="D27" s="102" t="s">
        <v>277</v>
      </c>
      <c r="E27" s="102"/>
      <c r="F27" s="102"/>
      <c r="G27" s="102"/>
    </row>
    <row r="28" spans="1:7" ht="15" customHeight="1" x14ac:dyDescent="0.3">
      <c r="A28" s="4" t="s">
        <v>278</v>
      </c>
      <c r="B28" s="24" t="s">
        <v>279</v>
      </c>
      <c r="C28" s="33">
        <v>8</v>
      </c>
      <c r="D28" s="101" t="s">
        <v>280</v>
      </c>
      <c r="E28" s="101"/>
      <c r="F28" s="101"/>
      <c r="G28" s="101"/>
    </row>
    <row r="29" spans="1:7" ht="15" customHeight="1" x14ac:dyDescent="0.3">
      <c r="A29" s="6" t="s">
        <v>281</v>
      </c>
      <c r="B29" s="20" t="s">
        <v>279</v>
      </c>
      <c r="C29" s="30">
        <v>10</v>
      </c>
      <c r="D29" s="102" t="s">
        <v>282</v>
      </c>
      <c r="E29" s="102"/>
      <c r="F29" s="102"/>
      <c r="G29" s="102"/>
    </row>
    <row r="30" spans="1:7" ht="15" customHeight="1" x14ac:dyDescent="0.3">
      <c r="A30" s="4" t="s">
        <v>283</v>
      </c>
      <c r="B30" s="24" t="s">
        <v>284</v>
      </c>
      <c r="C30" s="33">
        <v>35</v>
      </c>
      <c r="D30" s="101" t="s">
        <v>285</v>
      </c>
      <c r="E30" s="101"/>
      <c r="F30" s="101"/>
      <c r="G30" s="101"/>
    </row>
    <row r="31" spans="1:7" ht="15" customHeight="1" x14ac:dyDescent="0.3">
      <c r="A31" s="6" t="s">
        <v>255</v>
      </c>
      <c r="B31" s="20" t="s">
        <v>232</v>
      </c>
      <c r="C31" s="34">
        <f>SUM(C22:C30)*0.1</f>
        <v>10.700000000000001</v>
      </c>
      <c r="D31" s="102" t="s">
        <v>286</v>
      </c>
      <c r="E31" s="102"/>
      <c r="F31" s="102"/>
      <c r="G31" s="102"/>
    </row>
    <row r="33" spans="1:7" ht="15" customHeight="1" x14ac:dyDescent="0.3">
      <c r="A33" s="35" t="s">
        <v>287</v>
      </c>
      <c r="B33" s="38"/>
      <c r="C33" s="37">
        <f>SUM(C22:C32)</f>
        <v>117.7</v>
      </c>
      <c r="D33" s="38"/>
      <c r="E33" s="38"/>
      <c r="F33" s="38"/>
      <c r="G33" s="38"/>
    </row>
    <row r="36" spans="1:7" ht="15" customHeight="1" x14ac:dyDescent="0.3">
      <c r="A36" s="95" t="s">
        <v>288</v>
      </c>
      <c r="B36" s="95"/>
      <c r="C36" s="95"/>
      <c r="D36" s="95"/>
      <c r="E36" s="95"/>
      <c r="F36" s="95"/>
      <c r="G36" s="95"/>
    </row>
    <row r="37" spans="1:7" ht="15" customHeight="1" x14ac:dyDescent="0.3">
      <c r="A37" s="10" t="s">
        <v>289</v>
      </c>
      <c r="B37" s="39">
        <f>E17</f>
        <v>38.5</v>
      </c>
    </row>
    <row r="38" spans="1:7" ht="15" customHeight="1" x14ac:dyDescent="0.3">
      <c r="A38" s="10" t="s">
        <v>290</v>
      </c>
      <c r="B38" s="39">
        <f>C33</f>
        <v>117.7</v>
      </c>
    </row>
    <row r="39" spans="1:7" ht="15" customHeight="1" x14ac:dyDescent="0.3">
      <c r="A39" s="35" t="s">
        <v>291</v>
      </c>
      <c r="B39" s="40">
        <f>C37+C38</f>
        <v>0</v>
      </c>
      <c r="C39" s="38"/>
      <c r="D39" s="38"/>
      <c r="E39" s="38"/>
      <c r="F39" s="38"/>
      <c r="G39" s="38"/>
    </row>
  </sheetData>
  <mergeCells count="14">
    <mergeCell ref="A1:G1"/>
    <mergeCell ref="A3:G3"/>
    <mergeCell ref="A20:G20"/>
    <mergeCell ref="D22:G22"/>
    <mergeCell ref="D23:G23"/>
    <mergeCell ref="D29:G29"/>
    <mergeCell ref="D30:G30"/>
    <mergeCell ref="D31:G31"/>
    <mergeCell ref="A36:G36"/>
    <mergeCell ref="D24:G24"/>
    <mergeCell ref="D25:G25"/>
    <mergeCell ref="D26:G26"/>
    <mergeCell ref="D27:G27"/>
    <mergeCell ref="D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showGridLines="0" zoomScaleNormal="100" workbookViewId="0">
      <selection activeCell="H7" sqref="H7"/>
    </sheetView>
  </sheetViews>
  <sheetFormatPr defaultColWidth="8.6640625" defaultRowHeight="14.4" x14ac:dyDescent="0.3"/>
  <cols>
    <col min="1" max="1" width="35" customWidth="1"/>
    <col min="2" max="2" width="18" customWidth="1"/>
    <col min="3" max="6" width="14" customWidth="1"/>
    <col min="7" max="7" width="18" customWidth="1"/>
  </cols>
  <sheetData>
    <row r="1" spans="1:7" ht="15" customHeight="1" x14ac:dyDescent="0.3">
      <c r="A1" s="94" t="s">
        <v>292</v>
      </c>
      <c r="B1" s="94"/>
      <c r="C1" s="94"/>
      <c r="D1" s="94"/>
      <c r="E1" s="94"/>
      <c r="F1" s="94"/>
      <c r="G1" s="94"/>
    </row>
    <row r="3" spans="1:7" ht="15" customHeight="1" x14ac:dyDescent="0.3">
      <c r="A3" s="95" t="s">
        <v>293</v>
      </c>
      <c r="B3" s="95"/>
      <c r="C3" s="95"/>
      <c r="D3" s="95"/>
      <c r="E3" s="95"/>
      <c r="F3" s="95"/>
      <c r="G3" s="95"/>
    </row>
    <row r="4" spans="1:7" ht="15" customHeight="1" x14ac:dyDescent="0.3">
      <c r="A4" s="7" t="s">
        <v>294</v>
      </c>
      <c r="B4" s="7" t="s">
        <v>295</v>
      </c>
      <c r="C4" s="7" t="s">
        <v>296</v>
      </c>
      <c r="D4" s="7" t="s">
        <v>297</v>
      </c>
      <c r="E4" s="7" t="s">
        <v>298</v>
      </c>
      <c r="F4" s="7" t="s">
        <v>299</v>
      </c>
      <c r="G4" s="7" t="s">
        <v>223</v>
      </c>
    </row>
    <row r="5" spans="1:7" ht="23.25" customHeight="1" x14ac:dyDescent="0.3">
      <c r="A5" s="6" t="s">
        <v>300</v>
      </c>
      <c r="B5" s="20" t="s">
        <v>301</v>
      </c>
      <c r="C5" s="30">
        <v>18</v>
      </c>
      <c r="D5" s="41">
        <f>C5/C11</f>
        <v>0.32727272727272727</v>
      </c>
      <c r="E5" s="20" t="s">
        <v>302</v>
      </c>
      <c r="F5" s="20" t="s">
        <v>303</v>
      </c>
      <c r="G5" s="1" t="s">
        <v>304</v>
      </c>
    </row>
    <row r="6" spans="1:7" ht="23.25" customHeight="1" x14ac:dyDescent="0.3">
      <c r="A6" s="4" t="s">
        <v>305</v>
      </c>
      <c r="B6" s="24" t="s">
        <v>301</v>
      </c>
      <c r="C6" s="33">
        <v>12</v>
      </c>
      <c r="D6" s="42">
        <f>C6/C11</f>
        <v>0.21818181818181817</v>
      </c>
      <c r="E6" s="24" t="s">
        <v>306</v>
      </c>
      <c r="F6" s="24" t="s">
        <v>307</v>
      </c>
      <c r="G6" s="2" t="s">
        <v>308</v>
      </c>
    </row>
    <row r="7" spans="1:7" ht="23.25" customHeight="1" x14ac:dyDescent="0.3">
      <c r="A7" s="6" t="s">
        <v>309</v>
      </c>
      <c r="B7" s="20" t="s">
        <v>310</v>
      </c>
      <c r="C7" s="30">
        <v>15</v>
      </c>
      <c r="D7" s="41">
        <f>C7/C11</f>
        <v>0.27272727272727271</v>
      </c>
      <c r="E7" s="20" t="s">
        <v>311</v>
      </c>
      <c r="F7" s="20" t="s">
        <v>312</v>
      </c>
      <c r="G7" s="1" t="s">
        <v>313</v>
      </c>
    </row>
    <row r="8" spans="1:7" ht="23.25" customHeight="1" x14ac:dyDescent="0.3">
      <c r="A8" s="4" t="s">
        <v>314</v>
      </c>
      <c r="B8" s="24" t="s">
        <v>315</v>
      </c>
      <c r="C8" s="33">
        <v>5</v>
      </c>
      <c r="D8" s="42">
        <f>C8/C11</f>
        <v>9.0909090909090912E-2</v>
      </c>
      <c r="E8" s="24" t="s">
        <v>316</v>
      </c>
      <c r="F8" s="24" t="s">
        <v>317</v>
      </c>
      <c r="G8" s="2" t="s">
        <v>318</v>
      </c>
    </row>
    <row r="9" spans="1:7" ht="15" customHeight="1" x14ac:dyDescent="0.3">
      <c r="A9" s="6" t="s">
        <v>319</v>
      </c>
      <c r="B9" s="20" t="s">
        <v>310</v>
      </c>
      <c r="C9" s="30">
        <v>5</v>
      </c>
      <c r="D9" s="41">
        <f>C9/C11</f>
        <v>9.0909090909090912E-2</v>
      </c>
      <c r="E9" s="20" t="s">
        <v>320</v>
      </c>
      <c r="F9" s="20" t="s">
        <v>321</v>
      </c>
      <c r="G9" s="1" t="s">
        <v>322</v>
      </c>
    </row>
    <row r="10" spans="1:7" ht="23.25" customHeight="1" x14ac:dyDescent="0.3">
      <c r="A10" s="4" t="s">
        <v>323</v>
      </c>
      <c r="B10" s="24" t="s">
        <v>324</v>
      </c>
      <c r="C10" s="33">
        <v>0</v>
      </c>
      <c r="D10" s="42">
        <f>C10/C11</f>
        <v>0</v>
      </c>
      <c r="E10" s="24" t="s">
        <v>232</v>
      </c>
      <c r="F10" s="24" t="s">
        <v>325</v>
      </c>
      <c r="G10" s="2" t="s">
        <v>326</v>
      </c>
    </row>
    <row r="11" spans="1:7" ht="15" customHeight="1" x14ac:dyDescent="0.3">
      <c r="A11" s="35" t="s">
        <v>327</v>
      </c>
      <c r="B11" s="38"/>
      <c r="C11" s="37">
        <f>SUM(C5:C10)</f>
        <v>55</v>
      </c>
      <c r="D11" s="38"/>
      <c r="E11" s="38"/>
      <c r="F11" s="38"/>
      <c r="G11" s="38"/>
    </row>
    <row r="14" spans="1:7" ht="15" customHeight="1" x14ac:dyDescent="0.3">
      <c r="A14" s="95" t="s">
        <v>328</v>
      </c>
      <c r="B14" s="95"/>
      <c r="C14" s="95"/>
      <c r="D14" s="95"/>
      <c r="E14" s="95"/>
      <c r="F14" s="95"/>
      <c r="G14" s="95"/>
    </row>
    <row r="15" spans="1:7" ht="15" customHeight="1" x14ac:dyDescent="0.3">
      <c r="A15" s="7" t="s">
        <v>329</v>
      </c>
      <c r="B15" s="7" t="s">
        <v>296</v>
      </c>
      <c r="C15" s="7" t="s">
        <v>126</v>
      </c>
      <c r="D15" s="7" t="s">
        <v>330</v>
      </c>
      <c r="E15" s="7" t="s">
        <v>331</v>
      </c>
      <c r="F15" s="7" t="s">
        <v>332</v>
      </c>
      <c r="G15" s="7" t="s">
        <v>333</v>
      </c>
    </row>
    <row r="16" spans="1:7" ht="15" customHeight="1" x14ac:dyDescent="0.3">
      <c r="A16" s="4" t="s">
        <v>334</v>
      </c>
      <c r="B16" s="43">
        <v>30</v>
      </c>
      <c r="C16" s="41">
        <f>B16/B19</f>
        <v>0.54545454545454541</v>
      </c>
      <c r="D16" s="44">
        <f>'04 Assumptions'!B34+'04 Assumptions'!B36*'04 Assumptions'!B35</f>
        <v>0.28239999999999998</v>
      </c>
      <c r="E16" s="20" t="s">
        <v>302</v>
      </c>
      <c r="F16" s="41">
        <f>D16</f>
        <v>0.28239999999999998</v>
      </c>
      <c r="G16" s="41">
        <f>C16*F16</f>
        <v>0.15403636363636361</v>
      </c>
    </row>
    <row r="17" spans="1:7" ht="15" customHeight="1" x14ac:dyDescent="0.3">
      <c r="A17" s="4" t="s">
        <v>335</v>
      </c>
      <c r="B17" s="43">
        <v>20</v>
      </c>
      <c r="C17" s="41">
        <f>B17/B19</f>
        <v>0.36363636363636365</v>
      </c>
      <c r="D17" s="44">
        <f>'04 Assumptions'!B37</f>
        <v>0.06</v>
      </c>
      <c r="E17" s="44">
        <f>'04 Assumptions'!B33</f>
        <v>0</v>
      </c>
      <c r="F17" s="41">
        <f>D17*(1-E17)</f>
        <v>0.06</v>
      </c>
      <c r="G17" s="41">
        <f>C17*F17</f>
        <v>2.1818181818181816E-2</v>
      </c>
    </row>
    <row r="18" spans="1:7" ht="15" customHeight="1" x14ac:dyDescent="0.3">
      <c r="A18" s="4" t="s">
        <v>336</v>
      </c>
      <c r="B18" s="43">
        <v>5</v>
      </c>
      <c r="C18" s="41">
        <f>B18/B19</f>
        <v>9.0909090909090912E-2</v>
      </c>
      <c r="D18" s="45" t="s">
        <v>337</v>
      </c>
      <c r="E18" s="20" t="s">
        <v>302</v>
      </c>
      <c r="F18" s="45" t="s">
        <v>337</v>
      </c>
      <c r="G18" s="45" t="s">
        <v>337</v>
      </c>
    </row>
    <row r="19" spans="1:7" ht="15" customHeight="1" x14ac:dyDescent="0.3">
      <c r="A19" s="35" t="s">
        <v>338</v>
      </c>
      <c r="B19" s="37">
        <f>SUM(B16:B18)</f>
        <v>55</v>
      </c>
      <c r="C19" s="46" t="s">
        <v>339</v>
      </c>
      <c r="D19" s="38"/>
      <c r="E19" s="38"/>
      <c r="F19" s="5" t="s">
        <v>340</v>
      </c>
      <c r="G19" s="47">
        <f>SUM(G16:G18)</f>
        <v>0.17585454545454543</v>
      </c>
    </row>
    <row r="21" spans="1:7" x14ac:dyDescent="0.3">
      <c r="A21" s="48"/>
      <c r="B21" s="48"/>
      <c r="C21" s="48"/>
      <c r="D21" s="48"/>
      <c r="E21" s="48"/>
      <c r="F21" s="48"/>
      <c r="G21" s="48"/>
    </row>
    <row r="22" spans="1:7" x14ac:dyDescent="0.3">
      <c r="A22" s="48"/>
      <c r="B22" s="48"/>
      <c r="C22" s="48"/>
      <c r="D22" s="48"/>
      <c r="E22" s="48"/>
      <c r="F22" s="48"/>
      <c r="G22" s="48"/>
    </row>
    <row r="23" spans="1:7" ht="15" customHeight="1" x14ac:dyDescent="0.3">
      <c r="A23" s="95" t="s">
        <v>341</v>
      </c>
      <c r="B23" s="95"/>
      <c r="C23" s="95"/>
      <c r="D23" s="95"/>
      <c r="E23" s="95"/>
      <c r="F23" s="95"/>
      <c r="G23" s="95"/>
    </row>
    <row r="24" spans="1:7" ht="15" customHeight="1" x14ac:dyDescent="0.3">
      <c r="A24" s="7" t="s">
        <v>342</v>
      </c>
      <c r="B24" s="7" t="s">
        <v>343</v>
      </c>
      <c r="C24" s="7" t="s">
        <v>344</v>
      </c>
      <c r="D24" s="7" t="s">
        <v>345</v>
      </c>
      <c r="E24" s="7" t="s">
        <v>346</v>
      </c>
      <c r="F24" s="7" t="s">
        <v>347</v>
      </c>
      <c r="G24" s="7" t="s">
        <v>348</v>
      </c>
    </row>
    <row r="25" spans="1:7" ht="15" customHeight="1" x14ac:dyDescent="0.3">
      <c r="A25" s="92" t="s">
        <v>349</v>
      </c>
      <c r="B25" s="92"/>
      <c r="C25" s="92"/>
      <c r="D25" s="92"/>
      <c r="E25" s="92"/>
      <c r="F25" s="92"/>
      <c r="G25" s="92"/>
    </row>
    <row r="26" spans="1:7" ht="15" customHeight="1" x14ac:dyDescent="0.3">
      <c r="A26" s="4" t="s">
        <v>350</v>
      </c>
      <c r="B26" s="49">
        <f>'08 Balance Sheet'!B22+'08 Balance Sheet'!B27</f>
        <v>20</v>
      </c>
      <c r="C26" s="49">
        <f>'08 Balance Sheet'!C22+'08 Balance Sheet'!C27</f>
        <v>17.899999999999999</v>
      </c>
      <c r="D26" s="49">
        <f>'08 Balance Sheet'!D22+'08 Balance Sheet'!D27</f>
        <v>15.8</v>
      </c>
      <c r="E26" s="49">
        <f>'08 Balance Sheet'!E22+'08 Balance Sheet'!E27</f>
        <v>10.5</v>
      </c>
      <c r="F26" s="49">
        <f>'08 Balance Sheet'!F22+'08 Balance Sheet'!F27</f>
        <v>4.5</v>
      </c>
      <c r="G26" s="24" t="s">
        <v>232</v>
      </c>
    </row>
    <row r="27" spans="1:7" ht="15" customHeight="1" x14ac:dyDescent="0.3">
      <c r="A27" s="6" t="s">
        <v>351</v>
      </c>
      <c r="B27" s="50">
        <f>'08 Balance Sheet'!B34</f>
        <v>19.099999999999994</v>
      </c>
      <c r="C27" s="50">
        <f>'08 Balance Sheet'!C34</f>
        <v>28.800000000000004</v>
      </c>
      <c r="D27" s="50">
        <f>'08 Balance Sheet'!D34</f>
        <v>48.999999999999993</v>
      </c>
      <c r="E27" s="50">
        <f>'08 Balance Sheet'!E34</f>
        <v>79.3</v>
      </c>
      <c r="F27" s="50">
        <f>'08 Balance Sheet'!F34</f>
        <v>153.90000000000003</v>
      </c>
      <c r="G27" s="20" t="s">
        <v>232</v>
      </c>
    </row>
    <row r="28" spans="1:7" ht="15" customHeight="1" x14ac:dyDescent="0.3">
      <c r="A28" s="35" t="s">
        <v>352</v>
      </c>
      <c r="B28" s="51">
        <f>'08 Balance Sheet'!B22+'08 Balance Sheet'!B27+'08 Balance Sheet'!B34</f>
        <v>39.099999999999994</v>
      </c>
      <c r="C28" s="51">
        <f>'08 Balance Sheet'!C22+'08 Balance Sheet'!C27+'08 Balance Sheet'!C34</f>
        <v>46.7</v>
      </c>
      <c r="D28" s="51">
        <f>'08 Balance Sheet'!D22+'08 Balance Sheet'!D27+'08 Balance Sheet'!D34</f>
        <v>64.8</v>
      </c>
      <c r="E28" s="51">
        <f>'08 Balance Sheet'!E22+'08 Balance Sheet'!E27+'08 Balance Sheet'!E34</f>
        <v>89.8</v>
      </c>
      <c r="F28" s="51">
        <f>'08 Balance Sheet'!F22+'08 Balance Sheet'!F27+'08 Balance Sheet'!F34</f>
        <v>158.40000000000003</v>
      </c>
      <c r="G28" s="52" t="s">
        <v>232</v>
      </c>
    </row>
    <row r="29" spans="1:7" ht="15" customHeight="1" x14ac:dyDescent="0.3">
      <c r="A29" s="92" t="s">
        <v>353</v>
      </c>
      <c r="B29" s="92"/>
      <c r="C29" s="92"/>
      <c r="D29" s="92"/>
      <c r="E29" s="92"/>
      <c r="F29" s="92"/>
      <c r="G29" s="92"/>
    </row>
    <row r="30" spans="1:7" ht="15" customHeight="1" x14ac:dyDescent="0.3">
      <c r="A30" s="4" t="s">
        <v>354</v>
      </c>
      <c r="B30" s="53">
        <f>('08 Balance Sheet'!B22+'08 Balance Sheet'!B27)/('08 Balance Sheet'!B22+'08 Balance Sheet'!B27+'08 Balance Sheet'!B34)</f>
        <v>0.51150895140664965</v>
      </c>
      <c r="C30" s="53">
        <f>('08 Balance Sheet'!C22+'08 Balance Sheet'!C27)/('08 Balance Sheet'!C22+'08 Balance Sheet'!C27+'08 Balance Sheet'!C34)</f>
        <v>0.38329764453961451</v>
      </c>
      <c r="D30" s="53">
        <f>('08 Balance Sheet'!D22+'08 Balance Sheet'!D27)/('08 Balance Sheet'!D22+'08 Balance Sheet'!D27+'08 Balance Sheet'!D34)</f>
        <v>0.24382716049382719</v>
      </c>
      <c r="E30" s="53">
        <f>('08 Balance Sheet'!E22+'08 Balance Sheet'!E27)/('08 Balance Sheet'!E22+'08 Balance Sheet'!E27+'08 Balance Sheet'!E34)</f>
        <v>0.11692650334075724</v>
      </c>
      <c r="F30" s="53">
        <f>('08 Balance Sheet'!F22+'08 Balance Sheet'!F27)/('08 Balance Sheet'!F22+'08 Balance Sheet'!F27+'08 Balance Sheet'!F34)</f>
        <v>2.8409090909090905E-2</v>
      </c>
      <c r="G30" s="24" t="s">
        <v>232</v>
      </c>
    </row>
    <row r="31" spans="1:7" ht="15" customHeight="1" x14ac:dyDescent="0.3">
      <c r="A31" s="6" t="s">
        <v>355</v>
      </c>
      <c r="B31" s="54">
        <f>'08 Balance Sheet'!B34/('08 Balance Sheet'!B22+'08 Balance Sheet'!B27+'08 Balance Sheet'!B34)</f>
        <v>0.4884910485933503</v>
      </c>
      <c r="C31" s="54">
        <f>'08 Balance Sheet'!C34/('08 Balance Sheet'!C22+'08 Balance Sheet'!C27+'08 Balance Sheet'!C34)</f>
        <v>0.61670235546038554</v>
      </c>
      <c r="D31" s="54">
        <f>'08 Balance Sheet'!D34/('08 Balance Sheet'!D22+'08 Balance Sheet'!D27+'08 Balance Sheet'!D34)</f>
        <v>0.75617283950617276</v>
      </c>
      <c r="E31" s="54">
        <f>'08 Balance Sheet'!E34/('08 Balance Sheet'!E22+'08 Balance Sheet'!E27+'08 Balance Sheet'!E34)</f>
        <v>0.88307349665924273</v>
      </c>
      <c r="F31" s="54">
        <f>'08 Balance Sheet'!F34/('08 Balance Sheet'!F22+'08 Balance Sheet'!F27+'08 Balance Sheet'!F34)</f>
        <v>0.97159090909090906</v>
      </c>
      <c r="G31" s="20" t="s">
        <v>232</v>
      </c>
    </row>
    <row r="32" spans="1:7" ht="27.75" customHeight="1" x14ac:dyDescent="0.3">
      <c r="A32" s="92" t="s">
        <v>356</v>
      </c>
      <c r="B32" s="92"/>
      <c r="C32" s="92"/>
      <c r="D32" s="92"/>
      <c r="E32" s="92"/>
      <c r="F32" s="92"/>
      <c r="G32" s="92"/>
    </row>
    <row r="33" spans="1:7" x14ac:dyDescent="0.3">
      <c r="A33" s="4" t="s">
        <v>357</v>
      </c>
      <c r="B33" s="53">
        <f>'04 Assumptions'!B38+'04 Assumptions'!B40*'04 Assumptions'!B39</f>
        <v>0.16075</v>
      </c>
      <c r="C33" s="53">
        <f>'04 Assumptions'!B38+'04 Assumptions'!B40*'04 Assumptions'!B39</f>
        <v>0.16075</v>
      </c>
      <c r="D33" s="53">
        <f>'04 Assumptions'!B38+'04 Assumptions'!B40*'04 Assumptions'!B39</f>
        <v>0.16075</v>
      </c>
      <c r="E33" s="53">
        <f>'04 Assumptions'!B38+'04 Assumptions'!B40*'04 Assumptions'!B39</f>
        <v>0.16075</v>
      </c>
      <c r="F33" s="53">
        <f>'04 Assumptions'!B38+'04 Assumptions'!B40*'04 Assumptions'!B39</f>
        <v>0.16075</v>
      </c>
      <c r="G33" s="24" t="s">
        <v>358</v>
      </c>
    </row>
    <row r="34" spans="1:7" x14ac:dyDescent="0.3">
      <c r="A34" s="6" t="s">
        <v>359</v>
      </c>
      <c r="B34" s="54">
        <f>'04 Assumptions'!B41</f>
        <v>0.12</v>
      </c>
      <c r="C34" s="54">
        <f>'04 Assumptions'!B41</f>
        <v>0.12</v>
      </c>
      <c r="D34" s="54">
        <f>'04 Assumptions'!B41</f>
        <v>0.12</v>
      </c>
      <c r="E34" s="54">
        <f>'04 Assumptions'!B41</f>
        <v>0.12</v>
      </c>
      <c r="F34" s="54">
        <f>'04 Assumptions'!B41</f>
        <v>0.12</v>
      </c>
      <c r="G34" s="20" t="s">
        <v>360</v>
      </c>
    </row>
    <row r="35" spans="1:7" x14ac:dyDescent="0.3">
      <c r="A35" s="4" t="s">
        <v>361</v>
      </c>
      <c r="B35" s="53">
        <f>'04 Assumptions'!B41*(1-'04 Assumptions'!B34)</f>
        <v>0.09</v>
      </c>
      <c r="C35" s="53">
        <f>'04 Assumptions'!B41*(1-'04 Assumptions'!B34)</f>
        <v>0.09</v>
      </c>
      <c r="D35" s="53">
        <f>'04 Assumptions'!B41*(1-'04 Assumptions'!B34)</f>
        <v>0.09</v>
      </c>
      <c r="E35" s="53">
        <f>'04 Assumptions'!B41*(1-'04 Assumptions'!B34)</f>
        <v>0.09</v>
      </c>
      <c r="F35" s="53">
        <f>'04 Assumptions'!B41*(1-'04 Assumptions'!B34)</f>
        <v>0.09</v>
      </c>
      <c r="G35" s="24" t="s">
        <v>232</v>
      </c>
    </row>
    <row r="36" spans="1:7" x14ac:dyDescent="0.3">
      <c r="A36" s="35" t="s">
        <v>362</v>
      </c>
      <c r="B36" s="55">
        <f>'06 Financing'!G19</f>
        <v>0.17585454545454543</v>
      </c>
      <c r="C36" s="55">
        <f>'06 Financing'!G19</f>
        <v>0.17585454545454543</v>
      </c>
      <c r="D36" s="55">
        <f>'06 Financing'!G19</f>
        <v>0.17585454545454543</v>
      </c>
      <c r="E36" s="55">
        <f>'06 Financing'!G19</f>
        <v>0.17585454545454543</v>
      </c>
      <c r="F36" s="55">
        <f>'06 Financing'!G19</f>
        <v>0.17585454545454543</v>
      </c>
      <c r="G36" s="52" t="s">
        <v>363</v>
      </c>
    </row>
    <row r="37" spans="1:7" x14ac:dyDescent="0.3">
      <c r="A37" s="92" t="s">
        <v>364</v>
      </c>
      <c r="B37" s="92"/>
      <c r="C37" s="92"/>
      <c r="D37" s="92"/>
      <c r="E37" s="92"/>
      <c r="F37" s="92"/>
      <c r="G37" s="92"/>
    </row>
    <row r="38" spans="1:7" x14ac:dyDescent="0.3">
      <c r="A38" s="4" t="s">
        <v>365</v>
      </c>
      <c r="B38" s="56">
        <f>('08 Balance Sheet'!B22+'08 Balance Sheet'!B27)/'08 Balance Sheet'!B34</f>
        <v>1.0471204188481678</v>
      </c>
      <c r="C38" s="56">
        <f>('08 Balance Sheet'!C22+'08 Balance Sheet'!C27)/'08 Balance Sheet'!C34</f>
        <v>0.62152777777777768</v>
      </c>
      <c r="D38" s="56">
        <f>('08 Balance Sheet'!D22+'08 Balance Sheet'!D27)/'08 Balance Sheet'!D34</f>
        <v>0.32244897959183677</v>
      </c>
      <c r="E38" s="56">
        <f>('08 Balance Sheet'!E22+'08 Balance Sheet'!E27)/'08 Balance Sheet'!E34</f>
        <v>0.13240857503152587</v>
      </c>
      <c r="F38" s="56">
        <f>('08 Balance Sheet'!F22+'08 Balance Sheet'!F27)/'08 Balance Sheet'!F34</f>
        <v>2.923976608187134E-2</v>
      </c>
      <c r="G38" s="24" t="s">
        <v>366</v>
      </c>
    </row>
    <row r="39" spans="1:7" x14ac:dyDescent="0.3">
      <c r="A39" s="6" t="s">
        <v>367</v>
      </c>
      <c r="B39" s="57">
        <f>IF('07 P&amp;L'!B30&gt;0,'07 P&amp;L'!B29/'07 P&amp;L'!B30,"N/A")</f>
        <v>4789.9739130434782</v>
      </c>
      <c r="C39" s="57">
        <f>IF('07 P&amp;L'!C30&gt;0,'07 P&amp;L'!C29/'07 P&amp;L'!C30,"N/A")</f>
        <v>12950.978347826089</v>
      </c>
      <c r="D39" s="57">
        <f>IF('07 P&amp;L'!D30&gt;0,'07 P&amp;L'!D29/'07 P&amp;L'!D30,"N/A")</f>
        <v>32866.109371980674</v>
      </c>
      <c r="E39" s="57">
        <f>IF('07 P&amp;L'!E30&gt;0,'07 P&amp;L'!E29/'07 P&amp;L'!E30,"N/A")</f>
        <v>70229.319891304345</v>
      </c>
      <c r="F39" s="57">
        <f>IF('07 P&amp;L'!F30&gt;0,'07 P&amp;L'!F29/'07 P&amp;L'!F30,"N/A")</f>
        <v>165669.39666666667</v>
      </c>
      <c r="G39" s="20" t="s">
        <v>368</v>
      </c>
    </row>
    <row r="40" spans="1:7" x14ac:dyDescent="0.3">
      <c r="A40" s="4" t="s">
        <v>369</v>
      </c>
      <c r="B40" s="56">
        <f>IF('07 P&amp;L'!B27&gt;0,('08 Balance Sheet'!B22+'08 Balance Sheet'!B27-'08 Balance Sheet'!B5)/'07 P&amp;L'!B27,"N/A")</f>
        <v>6.8032517729274121E-4</v>
      </c>
      <c r="C40" s="56">
        <f>IF('07 P&amp;L'!C27&gt;0,('08 Balance Sheet'!C22+'08 Balance Sheet'!C27-'08 Balance Sheet'!C5)/'07 P&amp;L'!C27,"N/A")</f>
        <v>-1.3424688247358758E-5</v>
      </c>
      <c r="D40" s="56">
        <f>IF('07 P&amp;L'!D27&gt;0,('08 Balance Sheet'!D22+'08 Balance Sheet'!D27-'08 Balance Sheet'!D5)/'07 P&amp;L'!D27,"N/A")</f>
        <v>-2.0575331414505359E-4</v>
      </c>
      <c r="E40" s="56">
        <f>IF('07 P&amp;L'!E27&gt;0,('08 Balance Sheet'!E22+'08 Balance Sheet'!E27-'08 Balance Sheet'!E5)/'07 P&amp;L'!E27,"N/A")</f>
        <v>-3.1493638355467953E-4</v>
      </c>
      <c r="F40" s="56">
        <f>IF('07 P&amp;L'!F27&gt;0,('08 Balance Sheet'!F22+'08 Balance Sheet'!F27-'08 Balance Sheet'!F5)/'07 P&amp;L'!F27,"N/A")</f>
        <v>-3.6827262670058233E-4</v>
      </c>
      <c r="G40" s="24" t="s">
        <v>370</v>
      </c>
    </row>
    <row r="41" spans="1:7" ht="27.75" customHeight="1" x14ac:dyDescent="0.3">
      <c r="A41" s="93" t="s">
        <v>371</v>
      </c>
      <c r="B41" s="93"/>
      <c r="C41" s="93"/>
      <c r="D41" s="93"/>
      <c r="E41" s="93"/>
      <c r="F41" s="93"/>
      <c r="G41" s="93"/>
    </row>
  </sheetData>
  <mergeCells count="9">
    <mergeCell ref="A29:G29"/>
    <mergeCell ref="A32:G32"/>
    <mergeCell ref="A37:G37"/>
    <mergeCell ref="A41:G41"/>
    <mergeCell ref="A1:G1"/>
    <mergeCell ref="A3:G3"/>
    <mergeCell ref="A14:G14"/>
    <mergeCell ref="A23:G23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showGridLines="0" topLeftCell="A16" zoomScaleNormal="100" workbookViewId="0">
      <selection activeCell="B11" sqref="B11"/>
    </sheetView>
  </sheetViews>
  <sheetFormatPr defaultColWidth="8.6640625" defaultRowHeight="14.4" x14ac:dyDescent="0.3"/>
  <cols>
    <col min="1" max="1" width="38" customWidth="1"/>
    <col min="2" max="6" width="16" customWidth="1"/>
  </cols>
  <sheetData>
    <row r="1" spans="1:6" ht="15" customHeight="1" x14ac:dyDescent="0.3">
      <c r="A1" s="94" t="s">
        <v>372</v>
      </c>
      <c r="B1" s="94"/>
      <c r="C1" s="94"/>
      <c r="D1" s="94"/>
      <c r="E1" s="94"/>
      <c r="F1" s="94"/>
    </row>
    <row r="2" spans="1:6" ht="15" customHeight="1" x14ac:dyDescent="0.3">
      <c r="A2" s="3" t="s">
        <v>373</v>
      </c>
      <c r="B2" s="7" t="s">
        <v>343</v>
      </c>
      <c r="C2" s="7" t="s">
        <v>344</v>
      </c>
      <c r="D2" s="7" t="s">
        <v>345</v>
      </c>
      <c r="E2" s="7" t="s">
        <v>346</v>
      </c>
      <c r="F2" s="7" t="s">
        <v>347</v>
      </c>
    </row>
    <row r="3" spans="1:6" ht="15" customHeight="1" x14ac:dyDescent="0.3">
      <c r="A3" s="58" t="s">
        <v>374</v>
      </c>
      <c r="B3" s="59"/>
      <c r="C3" s="59"/>
      <c r="D3" s="59"/>
      <c r="E3" s="59"/>
      <c r="F3" s="59"/>
    </row>
    <row r="4" spans="1:6" ht="15" customHeight="1" x14ac:dyDescent="0.3">
      <c r="A4" s="6" t="s">
        <v>375</v>
      </c>
      <c r="B4" s="60">
        <v>500</v>
      </c>
      <c r="C4" s="60">
        <v>1200</v>
      </c>
      <c r="D4" s="60">
        <v>2500</v>
      </c>
      <c r="E4" s="60">
        <v>4200</v>
      </c>
      <c r="F4" s="60">
        <v>6800</v>
      </c>
    </row>
    <row r="5" spans="1:6" ht="15" customHeight="1" x14ac:dyDescent="0.3">
      <c r="A5" s="6" t="s">
        <v>376</v>
      </c>
      <c r="B5" s="60">
        <v>200</v>
      </c>
      <c r="C5" s="60">
        <v>600</v>
      </c>
      <c r="D5" s="60">
        <v>1400</v>
      </c>
      <c r="E5" s="60">
        <v>2600</v>
      </c>
      <c r="F5" s="60">
        <v>4200</v>
      </c>
    </row>
    <row r="6" spans="1:6" ht="15" customHeight="1" x14ac:dyDescent="0.3">
      <c r="A6" s="6" t="s">
        <v>377</v>
      </c>
      <c r="B6" s="60">
        <v>3999</v>
      </c>
      <c r="C6" s="60">
        <v>4119</v>
      </c>
      <c r="D6" s="60">
        <v>4242</v>
      </c>
      <c r="E6" s="60">
        <v>4454</v>
      </c>
      <c r="F6" s="60">
        <v>4677</v>
      </c>
    </row>
    <row r="7" spans="1:6" ht="15" customHeight="1" x14ac:dyDescent="0.3">
      <c r="A7" s="6" t="s">
        <v>378</v>
      </c>
      <c r="B7" s="60">
        <v>3499</v>
      </c>
      <c r="C7" s="60">
        <v>3569</v>
      </c>
      <c r="D7" s="60">
        <v>3640</v>
      </c>
      <c r="E7" s="60">
        <v>3749</v>
      </c>
      <c r="F7" s="60">
        <v>3862</v>
      </c>
    </row>
    <row r="8" spans="1:6" ht="15" customHeight="1" x14ac:dyDescent="0.3">
      <c r="A8" s="6" t="s">
        <v>379</v>
      </c>
      <c r="B8" s="61">
        <f t="shared" ref="B8:F9" si="0">B4*B6/100</f>
        <v>19995</v>
      </c>
      <c r="C8" s="61">
        <f t="shared" si="0"/>
        <v>49428</v>
      </c>
      <c r="D8" s="61">
        <f t="shared" si="0"/>
        <v>106050</v>
      </c>
      <c r="E8" s="61">
        <f t="shared" si="0"/>
        <v>187068</v>
      </c>
      <c r="F8" s="61">
        <f t="shared" si="0"/>
        <v>318036</v>
      </c>
    </row>
    <row r="9" spans="1:6" ht="15" customHeight="1" x14ac:dyDescent="0.3">
      <c r="A9" s="6" t="s">
        <v>380</v>
      </c>
      <c r="B9" s="61">
        <f t="shared" si="0"/>
        <v>6998</v>
      </c>
      <c r="C9" s="61">
        <f t="shared" si="0"/>
        <v>21414</v>
      </c>
      <c r="D9" s="61">
        <f t="shared" si="0"/>
        <v>50960</v>
      </c>
      <c r="E9" s="61">
        <f t="shared" si="0"/>
        <v>97474</v>
      </c>
      <c r="F9" s="61">
        <f t="shared" si="0"/>
        <v>162204</v>
      </c>
    </row>
    <row r="10" spans="1:6" ht="15" customHeight="1" x14ac:dyDescent="0.3">
      <c r="A10" s="6" t="s">
        <v>381</v>
      </c>
      <c r="B10" s="62">
        <v>0</v>
      </c>
      <c r="C10" s="62">
        <v>3.99</v>
      </c>
      <c r="D10" s="62">
        <v>11.18</v>
      </c>
      <c r="E10" s="62">
        <v>25.57</v>
      </c>
      <c r="F10" s="62">
        <v>51.13</v>
      </c>
    </row>
    <row r="11" spans="1:6" ht="15" customHeight="1" x14ac:dyDescent="0.3">
      <c r="A11" s="58" t="s">
        <v>382</v>
      </c>
      <c r="B11" s="59">
        <f>SUM(B8:B10)</f>
        <v>26993</v>
      </c>
      <c r="C11" s="59">
        <f>SUM(C8:C10)</f>
        <v>70845.990000000005</v>
      </c>
      <c r="D11" s="59">
        <f>SUM(D8:D10)</f>
        <v>157021.18</v>
      </c>
      <c r="E11" s="59">
        <f>SUM(E8:E10)</f>
        <v>284567.57</v>
      </c>
      <c r="F11" s="59">
        <f>SUM(F8:F10)</f>
        <v>480291.13</v>
      </c>
    </row>
    <row r="12" spans="1:6" ht="15" customHeight="1" x14ac:dyDescent="0.3">
      <c r="A12" s="10" t="s">
        <v>383</v>
      </c>
      <c r="B12" s="63"/>
      <c r="C12" s="63"/>
      <c r="D12" s="63"/>
      <c r="E12" s="63"/>
      <c r="F12" s="63"/>
    </row>
    <row r="13" spans="1:6" ht="15" customHeight="1" x14ac:dyDescent="0.3">
      <c r="A13" s="6" t="s">
        <v>384</v>
      </c>
      <c r="B13" s="61">
        <f>(B4+B5)*18</f>
        <v>12600</v>
      </c>
      <c r="C13" s="61">
        <f>(C4+C5)*18</f>
        <v>32400</v>
      </c>
      <c r="D13" s="61">
        <f>(D4+D5)*18</f>
        <v>70200</v>
      </c>
      <c r="E13" s="61">
        <f>(E4+E5)*18</f>
        <v>122400</v>
      </c>
      <c r="F13" s="61">
        <f>(F4+F5)*18</f>
        <v>198000</v>
      </c>
    </row>
    <row r="14" spans="1:6" ht="15" customHeight="1" x14ac:dyDescent="0.3">
      <c r="A14" s="6" t="s">
        <v>385</v>
      </c>
      <c r="B14" s="61">
        <f>(B4+B5)*2.2</f>
        <v>1540.0000000000002</v>
      </c>
      <c r="C14" s="61">
        <f>(C4+C5)*2.2</f>
        <v>3960.0000000000005</v>
      </c>
      <c r="D14" s="61">
        <f>(D4+D5)*2.2</f>
        <v>8580</v>
      </c>
      <c r="E14" s="61">
        <f>(E4+E5)*2.2</f>
        <v>14960.000000000002</v>
      </c>
      <c r="F14" s="61">
        <f>(F4+F5)*2.2</f>
        <v>24200.000000000004</v>
      </c>
    </row>
    <row r="15" spans="1:6" ht="15" customHeight="1" x14ac:dyDescent="0.3">
      <c r="A15" s="6" t="s">
        <v>386</v>
      </c>
      <c r="B15" s="61">
        <f>(B4+B5)*1.8</f>
        <v>1260</v>
      </c>
      <c r="C15" s="61">
        <f>(C4+C5)*1.8</f>
        <v>3240</v>
      </c>
      <c r="D15" s="61">
        <f>(D4+D5)*1.8</f>
        <v>7020</v>
      </c>
      <c r="E15" s="61">
        <f>(E4+E5)*1.8</f>
        <v>12240</v>
      </c>
      <c r="F15" s="61">
        <f>(F4+F5)*1.8</f>
        <v>19800</v>
      </c>
    </row>
    <row r="16" spans="1:6" ht="15" customHeight="1" x14ac:dyDescent="0.3">
      <c r="A16" s="6" t="s">
        <v>387</v>
      </c>
      <c r="B16" s="61">
        <f>B11*0.02</f>
        <v>539.86</v>
      </c>
      <c r="C16" s="61">
        <f>C11*0.02</f>
        <v>1416.9198000000001</v>
      </c>
      <c r="D16" s="61">
        <f>D11*0.02</f>
        <v>3140.4236000000001</v>
      </c>
      <c r="E16" s="61">
        <f>E11*0.02</f>
        <v>5691.3514000000005</v>
      </c>
      <c r="F16" s="61">
        <f>F11*0.02</f>
        <v>9605.8225999999995</v>
      </c>
    </row>
    <row r="17" spans="1:6" ht="15" customHeight="1" x14ac:dyDescent="0.3">
      <c r="A17" s="10" t="s">
        <v>388</v>
      </c>
      <c r="B17" s="63">
        <f>SUM(B13:B16)</f>
        <v>15939.86</v>
      </c>
      <c r="C17" s="63">
        <f>SUM(C13:C16)</f>
        <v>41016.919800000003</v>
      </c>
      <c r="D17" s="63">
        <f>SUM(D13:D16)</f>
        <v>88940.423599999995</v>
      </c>
      <c r="E17" s="63">
        <f>SUM(E13:E16)</f>
        <v>155291.35140000001</v>
      </c>
      <c r="F17" s="63">
        <f>SUM(F13:F16)</f>
        <v>251605.82260000001</v>
      </c>
    </row>
    <row r="18" spans="1:6" ht="15" customHeight="1" x14ac:dyDescent="0.3">
      <c r="A18" s="58" t="s">
        <v>389</v>
      </c>
      <c r="B18" s="59">
        <f>B11-B17</f>
        <v>11053.14</v>
      </c>
      <c r="C18" s="59">
        <f>C11-C17</f>
        <v>29829.070200000002</v>
      </c>
      <c r="D18" s="59">
        <f>D11-D17</f>
        <v>68080.756399999998</v>
      </c>
      <c r="E18" s="59">
        <f>E11-E17</f>
        <v>129276.21859999999</v>
      </c>
      <c r="F18" s="59">
        <f>F11-F17</f>
        <v>228685.30739999999</v>
      </c>
    </row>
    <row r="19" spans="1:6" ht="15" customHeight="1" x14ac:dyDescent="0.3">
      <c r="A19" s="58" t="s">
        <v>390</v>
      </c>
      <c r="B19" s="64">
        <f>B18/B11</f>
        <v>0.40948171748231021</v>
      </c>
      <c r="C19" s="64">
        <f>C18/C11</f>
        <v>0.42104105257051244</v>
      </c>
      <c r="D19" s="64">
        <f>D18/D11</f>
        <v>0.43357689962589763</v>
      </c>
      <c r="E19" s="64">
        <f>E18/E11</f>
        <v>0.45429006052938498</v>
      </c>
      <c r="F19" s="64">
        <f>F18/F11</f>
        <v>0.47613893556601805</v>
      </c>
    </row>
    <row r="20" spans="1:6" ht="15" customHeight="1" x14ac:dyDescent="0.3">
      <c r="A20" s="10" t="s">
        <v>391</v>
      </c>
      <c r="B20" s="63"/>
      <c r="C20" s="63"/>
      <c r="D20" s="63"/>
      <c r="E20" s="63"/>
      <c r="F20" s="63"/>
    </row>
    <row r="21" spans="1:6" ht="15" customHeight="1" x14ac:dyDescent="0.3">
      <c r="A21" s="6" t="s">
        <v>392</v>
      </c>
      <c r="B21" s="62">
        <v>12</v>
      </c>
      <c r="C21" s="62">
        <v>13.8</v>
      </c>
      <c r="D21" s="62">
        <v>15.87</v>
      </c>
      <c r="E21" s="62">
        <v>18.25</v>
      </c>
      <c r="F21" s="62">
        <v>20.99</v>
      </c>
    </row>
    <row r="22" spans="1:6" ht="15" customHeight="1" x14ac:dyDescent="0.3">
      <c r="A22" s="6" t="s">
        <v>393</v>
      </c>
      <c r="B22" s="62">
        <v>8</v>
      </c>
      <c r="C22" s="62">
        <v>9.6</v>
      </c>
      <c r="D22" s="62">
        <v>11.52</v>
      </c>
      <c r="E22" s="62">
        <v>13.82</v>
      </c>
      <c r="F22" s="62">
        <v>16.59</v>
      </c>
    </row>
    <row r="23" spans="1:6" ht="15" customHeight="1" x14ac:dyDescent="0.3">
      <c r="A23" s="6" t="s">
        <v>394</v>
      </c>
      <c r="B23" s="62">
        <v>5</v>
      </c>
      <c r="C23" s="62">
        <v>5.5</v>
      </c>
      <c r="D23" s="62">
        <v>6.05</v>
      </c>
      <c r="E23" s="62">
        <v>6.66</v>
      </c>
      <c r="F23" s="62">
        <v>7.32</v>
      </c>
    </row>
    <row r="24" spans="1:6" ht="15" customHeight="1" x14ac:dyDescent="0.3">
      <c r="A24" s="6" t="s">
        <v>395</v>
      </c>
      <c r="B24" s="62">
        <v>4</v>
      </c>
      <c r="C24" s="62">
        <v>4.32</v>
      </c>
      <c r="D24" s="62">
        <v>4.67</v>
      </c>
      <c r="E24" s="62">
        <v>5.04</v>
      </c>
      <c r="F24" s="62">
        <v>5.44</v>
      </c>
    </row>
    <row r="25" spans="1:6" ht="15" customHeight="1" x14ac:dyDescent="0.3">
      <c r="A25" s="6" t="s">
        <v>396</v>
      </c>
      <c r="B25" s="62">
        <v>7.2</v>
      </c>
      <c r="C25" s="62">
        <v>8.6</v>
      </c>
      <c r="D25" s="62">
        <v>9.8000000000000007</v>
      </c>
      <c r="E25" s="62">
        <v>10.5</v>
      </c>
      <c r="F25" s="62">
        <v>11.2</v>
      </c>
    </row>
    <row r="26" spans="1:6" ht="15" customHeight="1" x14ac:dyDescent="0.3">
      <c r="A26" s="10" t="s">
        <v>397</v>
      </c>
      <c r="B26" s="63">
        <f>SUM(B21:B25)</f>
        <v>36.200000000000003</v>
      </c>
      <c r="C26" s="63">
        <f>SUM(C21:C25)</f>
        <v>41.82</v>
      </c>
      <c r="D26" s="63">
        <f>SUM(D21:D25)</f>
        <v>47.91</v>
      </c>
      <c r="E26" s="63">
        <f>SUM(E21:E25)</f>
        <v>54.27</v>
      </c>
      <c r="F26" s="63">
        <f>SUM(F21:F25)</f>
        <v>61.539999999999992</v>
      </c>
    </row>
    <row r="27" spans="1:6" ht="15" customHeight="1" x14ac:dyDescent="0.3">
      <c r="A27" s="58" t="s">
        <v>398</v>
      </c>
      <c r="B27" s="59">
        <f>B18-B26+B25</f>
        <v>11024.14</v>
      </c>
      <c r="C27" s="59">
        <f>C18-C26+C25</f>
        <v>29795.850200000001</v>
      </c>
      <c r="D27" s="59">
        <f>D18-D26+D25</f>
        <v>68042.646399999998</v>
      </c>
      <c r="E27" s="59">
        <f>E18-E26+E25</f>
        <v>129232.44859999999</v>
      </c>
      <c r="F27" s="59">
        <f>F18-F26+F25</f>
        <v>228634.96739999999</v>
      </c>
    </row>
    <row r="28" spans="1:6" ht="15" customHeight="1" x14ac:dyDescent="0.3">
      <c r="A28" s="58" t="s">
        <v>399</v>
      </c>
      <c r="B28" s="64">
        <f>IF(B11&gt;0,B27/B11,0)</f>
        <v>0.40840736487237428</v>
      </c>
      <c r="C28" s="64">
        <f>IF(C11&gt;0,C27/C11,0)</f>
        <v>0.4205721481201688</v>
      </c>
      <c r="D28" s="64">
        <f>IF(D11&gt;0,D27/D11,0)</f>
        <v>0.43333419351453095</v>
      </c>
      <c r="E28" s="64">
        <f>IF(E11&gt;0,E27/E11,0)</f>
        <v>0.45413624820284332</v>
      </c>
      <c r="F28" s="64">
        <f>IF(F11&gt;0,F27/F11,0)</f>
        <v>0.47603412413633373</v>
      </c>
    </row>
    <row r="29" spans="1:6" ht="15" customHeight="1" x14ac:dyDescent="0.3">
      <c r="A29" s="10" t="s">
        <v>400</v>
      </c>
      <c r="B29" s="63">
        <f>B18-B26</f>
        <v>11016.939999999999</v>
      </c>
      <c r="C29" s="63">
        <f>C18-C26</f>
        <v>29787.250200000002</v>
      </c>
      <c r="D29" s="63">
        <f>D18-D26</f>
        <v>68032.846399999995</v>
      </c>
      <c r="E29" s="63">
        <f>E18-E26</f>
        <v>129221.94859999999</v>
      </c>
      <c r="F29" s="63">
        <f>F18-F26</f>
        <v>228623.76739999998</v>
      </c>
    </row>
    <row r="30" spans="1:6" ht="15" customHeight="1" x14ac:dyDescent="0.3">
      <c r="A30" s="6" t="s">
        <v>401</v>
      </c>
      <c r="B30" s="62">
        <v>2.2999999999999998</v>
      </c>
      <c r="C30" s="62">
        <v>2.2999999999999998</v>
      </c>
      <c r="D30" s="62">
        <v>2.0699999999999998</v>
      </c>
      <c r="E30" s="62">
        <v>1.84</v>
      </c>
      <c r="F30" s="62">
        <v>1.38</v>
      </c>
    </row>
    <row r="31" spans="1:6" ht="15" customHeight="1" x14ac:dyDescent="0.3">
      <c r="A31" s="58" t="s">
        <v>402</v>
      </c>
      <c r="B31" s="59">
        <f>B29-B30</f>
        <v>11014.64</v>
      </c>
      <c r="C31" s="59">
        <f>C29-C30</f>
        <v>29784.950200000003</v>
      </c>
      <c r="D31" s="59">
        <f>D29-D30</f>
        <v>68030.776399999988</v>
      </c>
      <c r="E31" s="59">
        <f>E29-E30</f>
        <v>129220.10859999999</v>
      </c>
      <c r="F31" s="59">
        <f>F29-F30</f>
        <v>228622.38739999998</v>
      </c>
    </row>
    <row r="32" spans="1:6" ht="15" customHeight="1" x14ac:dyDescent="0.3">
      <c r="A32" s="6" t="s">
        <v>403</v>
      </c>
      <c r="B32" s="61">
        <f>IF(B31&gt;0,B31*0.25,0)</f>
        <v>2753.66</v>
      </c>
      <c r="C32" s="61">
        <f>IF(C31&gt;0,C31*0.25,0)</f>
        <v>7446.2375500000007</v>
      </c>
      <c r="D32" s="61">
        <f>IF(D31&gt;0,D31*0.25,0)</f>
        <v>17007.694099999997</v>
      </c>
      <c r="E32" s="61">
        <f>IF(E31&gt;0,E31*0.25,0)</f>
        <v>32305.027149999998</v>
      </c>
      <c r="F32" s="61">
        <f>IF(F31&gt;0,F31*0.25,0)</f>
        <v>57155.596849999994</v>
      </c>
    </row>
    <row r="33" spans="1:6" ht="15" customHeight="1" x14ac:dyDescent="0.3">
      <c r="A33" s="65" t="s">
        <v>404</v>
      </c>
      <c r="B33" s="66">
        <f>B31-B32</f>
        <v>8260.98</v>
      </c>
      <c r="C33" s="66">
        <f>C31-C32</f>
        <v>22338.712650000001</v>
      </c>
      <c r="D33" s="66">
        <f>D31-D32</f>
        <v>51023.082299999995</v>
      </c>
      <c r="E33" s="66">
        <f>E31-E32</f>
        <v>96915.081449999998</v>
      </c>
      <c r="F33" s="66">
        <f>F31-F32</f>
        <v>171466.79054999998</v>
      </c>
    </row>
    <row r="34" spans="1:6" ht="15" customHeight="1" x14ac:dyDescent="0.3">
      <c r="A34" s="58" t="s">
        <v>405</v>
      </c>
      <c r="B34" s="64">
        <f>IF(B11&gt;0,B33/B11,0)</f>
        <v>0.30604156633201196</v>
      </c>
      <c r="C34" s="64">
        <f>IF(C11&gt;0,C33/C11,0)</f>
        <v>0.31531371994378227</v>
      </c>
      <c r="D34" s="64">
        <f>IF(D11&gt;0,D33/D11,0)</f>
        <v>0.3249439489628087</v>
      </c>
      <c r="E34" s="64">
        <f>IF(E11&gt;0,E33/E11,0)</f>
        <v>0.34056966312078357</v>
      </c>
      <c r="F34" s="64">
        <f>IF(F11&gt;0,F33/F11,0)</f>
        <v>0.35700594876694886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showGridLines="0" zoomScaleNormal="100" workbookViewId="0">
      <selection activeCell="A9" sqref="A9"/>
    </sheetView>
  </sheetViews>
  <sheetFormatPr defaultColWidth="8.6640625" defaultRowHeight="14.4" x14ac:dyDescent="0.3"/>
  <cols>
    <col min="1" max="1" width="38" customWidth="1"/>
    <col min="2" max="6" width="16" customWidth="1"/>
  </cols>
  <sheetData>
    <row r="1" spans="1:6" ht="15" customHeight="1" x14ac:dyDescent="0.3">
      <c r="A1" s="94" t="s">
        <v>406</v>
      </c>
      <c r="B1" s="94"/>
      <c r="C1" s="94"/>
      <c r="D1" s="94"/>
      <c r="E1" s="94"/>
      <c r="F1" s="94"/>
    </row>
    <row r="2" spans="1:6" ht="15" customHeight="1" x14ac:dyDescent="0.3">
      <c r="A2" s="3"/>
      <c r="B2" s="7" t="s">
        <v>343</v>
      </c>
      <c r="C2" s="7" t="s">
        <v>344</v>
      </c>
      <c r="D2" s="7" t="s">
        <v>345</v>
      </c>
      <c r="E2" s="7" t="s">
        <v>346</v>
      </c>
      <c r="F2" s="7" t="s">
        <v>347</v>
      </c>
    </row>
    <row r="3" spans="1:6" ht="15" customHeight="1" x14ac:dyDescent="0.3">
      <c r="A3" s="65" t="s">
        <v>407</v>
      </c>
      <c r="B3" s="66"/>
      <c r="C3" s="66"/>
      <c r="D3" s="66"/>
      <c r="E3" s="66"/>
      <c r="F3" s="66"/>
    </row>
    <row r="4" spans="1:6" ht="15" customHeight="1" x14ac:dyDescent="0.3">
      <c r="A4" s="58" t="s">
        <v>408</v>
      </c>
      <c r="B4" s="59"/>
      <c r="C4" s="59"/>
      <c r="D4" s="59"/>
      <c r="E4" s="59"/>
      <c r="F4" s="59"/>
    </row>
    <row r="5" spans="1:6" ht="15" customHeight="1" x14ac:dyDescent="0.3">
      <c r="A5" s="6" t="s">
        <v>409</v>
      </c>
      <c r="B5" s="62">
        <v>12.5</v>
      </c>
      <c r="C5" s="62">
        <v>18.3</v>
      </c>
      <c r="D5" s="62">
        <v>29.8</v>
      </c>
      <c r="E5" s="62">
        <v>51.2</v>
      </c>
      <c r="F5" s="62">
        <v>88.7</v>
      </c>
    </row>
    <row r="6" spans="1:6" ht="15" customHeight="1" x14ac:dyDescent="0.3">
      <c r="A6" s="6" t="s">
        <v>410</v>
      </c>
      <c r="B6" s="62">
        <v>3.5</v>
      </c>
      <c r="C6" s="62">
        <v>7.2</v>
      </c>
      <c r="D6" s="62">
        <v>13.8</v>
      </c>
      <c r="E6" s="62">
        <v>22.5</v>
      </c>
      <c r="F6" s="62">
        <v>36.200000000000003</v>
      </c>
    </row>
    <row r="7" spans="1:6" ht="15" customHeight="1" x14ac:dyDescent="0.3">
      <c r="A7" s="6" t="s">
        <v>411</v>
      </c>
      <c r="B7" s="62">
        <v>11</v>
      </c>
      <c r="C7" s="62">
        <v>13.2</v>
      </c>
      <c r="D7" s="62">
        <v>16.5</v>
      </c>
      <c r="E7" s="62">
        <v>20.8</v>
      </c>
      <c r="F7" s="62">
        <v>26.4</v>
      </c>
    </row>
    <row r="8" spans="1:6" ht="15" customHeight="1" x14ac:dyDescent="0.3">
      <c r="A8" s="6" t="s">
        <v>412</v>
      </c>
      <c r="B8" s="62">
        <v>1.5</v>
      </c>
      <c r="C8" s="62">
        <v>2</v>
      </c>
      <c r="D8" s="62">
        <v>2.5</v>
      </c>
      <c r="E8" s="62">
        <v>3</v>
      </c>
      <c r="F8" s="62">
        <v>3.5</v>
      </c>
    </row>
    <row r="9" spans="1:6" ht="15" customHeight="1" x14ac:dyDescent="0.3">
      <c r="A9" s="58" t="s">
        <v>413</v>
      </c>
      <c r="B9" s="59">
        <f>SUM(B5:B8)</f>
        <v>28.5</v>
      </c>
      <c r="C9" s="59">
        <f>SUM(C5:C8)</f>
        <v>40.700000000000003</v>
      </c>
      <c r="D9" s="59">
        <f>SUM(D5:D8)</f>
        <v>62.6</v>
      </c>
      <c r="E9" s="59">
        <f>SUM(E5:E8)</f>
        <v>97.5</v>
      </c>
      <c r="F9" s="59">
        <f>SUM(F5:F8)</f>
        <v>154.80000000000001</v>
      </c>
    </row>
    <row r="10" spans="1:6" ht="15" customHeight="1" x14ac:dyDescent="0.3">
      <c r="A10" s="10" t="s">
        <v>414</v>
      </c>
      <c r="B10" s="63"/>
      <c r="C10" s="63"/>
      <c r="D10" s="63"/>
      <c r="E10" s="63"/>
      <c r="F10" s="63"/>
    </row>
    <row r="11" spans="1:6" ht="15" customHeight="1" x14ac:dyDescent="0.3">
      <c r="A11" s="6" t="s">
        <v>415</v>
      </c>
      <c r="B11" s="62">
        <v>12</v>
      </c>
      <c r="C11" s="62">
        <v>18</v>
      </c>
      <c r="D11" s="62">
        <v>28</v>
      </c>
      <c r="E11" s="62">
        <v>36</v>
      </c>
      <c r="F11" s="62">
        <v>71</v>
      </c>
    </row>
    <row r="12" spans="1:6" ht="15" customHeight="1" x14ac:dyDescent="0.3">
      <c r="A12" s="6" t="s">
        <v>416</v>
      </c>
      <c r="B12" s="62" t="s">
        <v>417</v>
      </c>
      <c r="C12" s="62" t="s">
        <v>418</v>
      </c>
      <c r="D12" s="62" t="s">
        <v>419</v>
      </c>
      <c r="E12" s="62" t="s">
        <v>420</v>
      </c>
      <c r="F12" s="62" t="s">
        <v>421</v>
      </c>
    </row>
    <row r="13" spans="1:6" ht="15" customHeight="1" x14ac:dyDescent="0.3">
      <c r="A13" s="6" t="s">
        <v>422</v>
      </c>
      <c r="B13" s="61">
        <f>B11+B12</f>
        <v>9.6</v>
      </c>
      <c r="C13" s="61">
        <f>C11+C12</f>
        <v>12.6</v>
      </c>
      <c r="D13" s="61">
        <f>D11+D12</f>
        <v>18.600000000000001</v>
      </c>
      <c r="E13" s="61">
        <f>E11+E12</f>
        <v>21.6</v>
      </c>
      <c r="F13" s="61">
        <f>F11+F12</f>
        <v>50.3</v>
      </c>
    </row>
    <row r="14" spans="1:6" ht="15" customHeight="1" x14ac:dyDescent="0.3">
      <c r="A14" s="6" t="s">
        <v>423</v>
      </c>
      <c r="B14" s="62">
        <v>8.1999999999999993</v>
      </c>
      <c r="C14" s="62">
        <v>5.8</v>
      </c>
      <c r="D14" s="62">
        <v>3.4</v>
      </c>
      <c r="E14" s="62">
        <v>2</v>
      </c>
      <c r="F14" s="62">
        <v>0.8</v>
      </c>
    </row>
    <row r="15" spans="1:6" ht="15" customHeight="1" x14ac:dyDescent="0.3">
      <c r="A15" s="6" t="s">
        <v>424</v>
      </c>
      <c r="B15" s="62">
        <v>0.5</v>
      </c>
      <c r="C15" s="62">
        <v>0.5</v>
      </c>
      <c r="D15" s="62">
        <v>0.5</v>
      </c>
      <c r="E15" s="62">
        <v>0.5</v>
      </c>
      <c r="F15" s="62">
        <v>0.5</v>
      </c>
    </row>
    <row r="16" spans="1:6" ht="15" customHeight="1" x14ac:dyDescent="0.3">
      <c r="A16" s="10" t="s">
        <v>425</v>
      </c>
      <c r="B16" s="63">
        <f>SUM(B13:B15)</f>
        <v>18.299999999999997</v>
      </c>
      <c r="C16" s="63">
        <f>SUM(C13:C15)</f>
        <v>18.899999999999999</v>
      </c>
      <c r="D16" s="63">
        <f>SUM(D13:D15)</f>
        <v>22.5</v>
      </c>
      <c r="E16" s="63">
        <f>SUM(E13:E15)</f>
        <v>24.1</v>
      </c>
      <c r="F16" s="63">
        <f>SUM(F13:F15)</f>
        <v>51.599999999999994</v>
      </c>
    </row>
    <row r="17" spans="1:6" ht="15" customHeight="1" x14ac:dyDescent="0.3">
      <c r="A17" s="65" t="s">
        <v>426</v>
      </c>
      <c r="B17" s="66">
        <f>B9+B16</f>
        <v>46.8</v>
      </c>
      <c r="C17" s="66">
        <f>C9+C16</f>
        <v>59.6</v>
      </c>
      <c r="D17" s="66">
        <f>D9+D16</f>
        <v>85.1</v>
      </c>
      <c r="E17" s="66">
        <f>E9+E16</f>
        <v>121.6</v>
      </c>
      <c r="F17" s="66">
        <f>F9+F16</f>
        <v>206.4</v>
      </c>
    </row>
    <row r="19" spans="1:6" ht="15" customHeight="1" x14ac:dyDescent="0.3">
      <c r="A19" s="65" t="s">
        <v>427</v>
      </c>
      <c r="B19" s="66"/>
      <c r="C19" s="66"/>
      <c r="D19" s="66"/>
      <c r="E19" s="66"/>
      <c r="F19" s="66"/>
    </row>
    <row r="20" spans="1:6" ht="15" customHeight="1" x14ac:dyDescent="0.3">
      <c r="A20" s="58" t="s">
        <v>428</v>
      </c>
      <c r="B20" s="59"/>
      <c r="C20" s="59"/>
      <c r="D20" s="59"/>
      <c r="E20" s="59"/>
      <c r="F20" s="59"/>
    </row>
    <row r="21" spans="1:6" ht="15" customHeight="1" x14ac:dyDescent="0.3">
      <c r="A21" s="6" t="s">
        <v>429</v>
      </c>
      <c r="B21" s="62">
        <v>4.5</v>
      </c>
      <c r="C21" s="62">
        <v>7.2</v>
      </c>
      <c r="D21" s="62">
        <v>11.5</v>
      </c>
      <c r="E21" s="62">
        <v>17.8</v>
      </c>
      <c r="F21" s="62">
        <v>26.5</v>
      </c>
    </row>
    <row r="22" spans="1:6" ht="15" customHeight="1" x14ac:dyDescent="0.3">
      <c r="A22" s="6" t="s">
        <v>430</v>
      </c>
      <c r="B22" s="62">
        <v>5</v>
      </c>
      <c r="C22" s="62">
        <v>5</v>
      </c>
      <c r="D22" s="62">
        <v>5</v>
      </c>
      <c r="E22" s="62">
        <v>3</v>
      </c>
      <c r="F22" s="62">
        <v>0</v>
      </c>
    </row>
    <row r="23" spans="1:6" ht="15" customHeight="1" x14ac:dyDescent="0.3">
      <c r="A23" s="6" t="s">
        <v>431</v>
      </c>
      <c r="B23" s="62">
        <v>1.2</v>
      </c>
      <c r="C23" s="62">
        <v>2.5</v>
      </c>
      <c r="D23" s="62">
        <v>4.2</v>
      </c>
      <c r="E23" s="62">
        <v>7.5</v>
      </c>
      <c r="F23" s="62">
        <v>12.8</v>
      </c>
    </row>
    <row r="24" spans="1:6" ht="15" customHeight="1" x14ac:dyDescent="0.3">
      <c r="A24" s="6" t="s">
        <v>432</v>
      </c>
      <c r="B24" s="62">
        <v>1.5</v>
      </c>
      <c r="C24" s="62">
        <v>2</v>
      </c>
      <c r="D24" s="62">
        <v>2.5</v>
      </c>
      <c r="E24" s="62">
        <v>3</v>
      </c>
      <c r="F24" s="62">
        <v>3.5</v>
      </c>
    </row>
    <row r="25" spans="1:6" ht="15" customHeight="1" x14ac:dyDescent="0.3">
      <c r="A25" s="58" t="s">
        <v>433</v>
      </c>
      <c r="B25" s="59">
        <f>SUM(B21:B24)</f>
        <v>12.2</v>
      </c>
      <c r="C25" s="59">
        <f>SUM(C21:C24)</f>
        <v>16.7</v>
      </c>
      <c r="D25" s="59">
        <f>SUM(D21:D24)</f>
        <v>23.2</v>
      </c>
      <c r="E25" s="59">
        <f>SUM(E21:E24)</f>
        <v>31.3</v>
      </c>
      <c r="F25" s="59">
        <f>SUM(F21:F24)</f>
        <v>42.8</v>
      </c>
    </row>
    <row r="26" spans="1:6" ht="15" customHeight="1" x14ac:dyDescent="0.3">
      <c r="A26" s="10" t="s">
        <v>434</v>
      </c>
      <c r="B26" s="63"/>
      <c r="C26" s="63"/>
      <c r="D26" s="63"/>
      <c r="E26" s="63"/>
      <c r="F26" s="63"/>
    </row>
    <row r="27" spans="1:6" ht="15" customHeight="1" x14ac:dyDescent="0.3">
      <c r="A27" s="6" t="s">
        <v>435</v>
      </c>
      <c r="B27" s="62">
        <v>15</v>
      </c>
      <c r="C27" s="62">
        <v>12.9</v>
      </c>
      <c r="D27" s="62">
        <v>10.8</v>
      </c>
      <c r="E27" s="62">
        <v>7.5</v>
      </c>
      <c r="F27" s="62">
        <v>4.5</v>
      </c>
    </row>
    <row r="28" spans="1:6" ht="15" customHeight="1" x14ac:dyDescent="0.3">
      <c r="A28" s="6" t="s">
        <v>436</v>
      </c>
      <c r="B28" s="62">
        <v>0.5</v>
      </c>
      <c r="C28" s="62">
        <v>1.2</v>
      </c>
      <c r="D28" s="62">
        <v>2.1</v>
      </c>
      <c r="E28" s="62">
        <v>3.5</v>
      </c>
      <c r="F28" s="62">
        <v>5.2</v>
      </c>
    </row>
    <row r="29" spans="1:6" ht="15" customHeight="1" x14ac:dyDescent="0.3">
      <c r="A29" s="10" t="s">
        <v>437</v>
      </c>
      <c r="B29" s="63">
        <f>SUM(B27:B28)</f>
        <v>15.5</v>
      </c>
      <c r="C29" s="63">
        <f>SUM(C27:C28)</f>
        <v>14.1</v>
      </c>
      <c r="D29" s="63">
        <f>SUM(D27:D28)</f>
        <v>12.9</v>
      </c>
      <c r="E29" s="63">
        <f>SUM(E27:E28)</f>
        <v>11</v>
      </c>
      <c r="F29" s="63">
        <f>SUM(F27:F28)</f>
        <v>9.6999999999999993</v>
      </c>
    </row>
    <row r="30" spans="1:6" ht="15" customHeight="1" x14ac:dyDescent="0.3">
      <c r="A30" s="58" t="s">
        <v>438</v>
      </c>
      <c r="B30" s="59"/>
      <c r="C30" s="59"/>
      <c r="D30" s="59"/>
      <c r="E30" s="59"/>
      <c r="F30" s="59"/>
    </row>
    <row r="31" spans="1:6" ht="15" customHeight="1" x14ac:dyDescent="0.3">
      <c r="A31" s="6" t="s">
        <v>439</v>
      </c>
      <c r="B31" s="62">
        <v>30</v>
      </c>
      <c r="C31" s="62">
        <v>30</v>
      </c>
      <c r="D31" s="62">
        <v>30</v>
      </c>
      <c r="E31" s="62">
        <v>30</v>
      </c>
      <c r="F31" s="62">
        <v>30</v>
      </c>
    </row>
    <row r="32" spans="1:6" ht="15" customHeight="1" x14ac:dyDescent="0.3">
      <c r="A32" s="6" t="s">
        <v>440</v>
      </c>
      <c r="B32" s="62">
        <v>5</v>
      </c>
      <c r="C32" s="62">
        <v>5</v>
      </c>
      <c r="D32" s="62">
        <v>5</v>
      </c>
      <c r="E32" s="62">
        <v>5</v>
      </c>
      <c r="F32" s="62">
        <v>5</v>
      </c>
    </row>
    <row r="33" spans="1:6" ht="15" customHeight="1" x14ac:dyDescent="0.3">
      <c r="A33" s="6" t="s">
        <v>441</v>
      </c>
      <c r="B33" s="61">
        <f>B17-B25-B29-B31-B32</f>
        <v>-15.900000000000006</v>
      </c>
      <c r="C33" s="61">
        <f>C17-C25-C29-C31-C32</f>
        <v>-6.1999999999999957</v>
      </c>
      <c r="D33" s="61">
        <f>D17-D25-D29-D31-D32</f>
        <v>13.999999999999993</v>
      </c>
      <c r="E33" s="61">
        <f>E17-E25-E29-E31-E32</f>
        <v>44.3</v>
      </c>
      <c r="F33" s="61">
        <f>F17-F25-F29-F31-F32</f>
        <v>118.90000000000003</v>
      </c>
    </row>
    <row r="34" spans="1:6" ht="15" customHeight="1" x14ac:dyDescent="0.3">
      <c r="A34" s="58" t="s">
        <v>442</v>
      </c>
      <c r="B34" s="59">
        <f>SUM(B31:B33)</f>
        <v>19.099999999999994</v>
      </c>
      <c r="C34" s="59">
        <f>SUM(C31:C33)</f>
        <v>28.800000000000004</v>
      </c>
      <c r="D34" s="59">
        <f>SUM(D31:D33)</f>
        <v>48.999999999999993</v>
      </c>
      <c r="E34" s="59">
        <f>SUM(E31:E33)</f>
        <v>79.3</v>
      </c>
      <c r="F34" s="59">
        <f>SUM(F31:F33)</f>
        <v>153.90000000000003</v>
      </c>
    </row>
    <row r="35" spans="1:6" ht="15" customHeight="1" x14ac:dyDescent="0.3">
      <c r="A35" s="65" t="s">
        <v>443</v>
      </c>
      <c r="B35" s="66">
        <f>B25+B29+B34</f>
        <v>46.8</v>
      </c>
      <c r="C35" s="66">
        <f>C25+C29+C34</f>
        <v>59.6</v>
      </c>
      <c r="D35" s="66">
        <f>D25+D29+D34</f>
        <v>85.1</v>
      </c>
      <c r="E35" s="66">
        <f>E25+E29+E34</f>
        <v>121.6</v>
      </c>
      <c r="F35" s="66">
        <f>F25+F29+F34</f>
        <v>206.40000000000003</v>
      </c>
    </row>
    <row r="36" spans="1:6" ht="15" customHeight="1" x14ac:dyDescent="0.3">
      <c r="A36" s="67" t="s">
        <v>444</v>
      </c>
      <c r="B36" s="68">
        <f>B17-B35</f>
        <v>0</v>
      </c>
      <c r="C36" s="68">
        <f>C17-C35</f>
        <v>0</v>
      </c>
      <c r="D36" s="68">
        <f>D17-D35</f>
        <v>0</v>
      </c>
      <c r="E36" s="68">
        <f>E17-E35</f>
        <v>0</v>
      </c>
      <c r="F36" s="68">
        <f>F17-F35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0" customWidth="1"/>
    <col min="2" max="6" width="16" customWidth="1"/>
  </cols>
  <sheetData>
    <row r="1" spans="1:6" ht="15" customHeight="1" x14ac:dyDescent="0.3">
      <c r="A1" s="94" t="s">
        <v>445</v>
      </c>
      <c r="B1" s="94"/>
      <c r="C1" s="94"/>
      <c r="D1" s="94"/>
      <c r="E1" s="94"/>
      <c r="F1" s="94"/>
    </row>
    <row r="2" spans="1:6" ht="15" customHeight="1" x14ac:dyDescent="0.3">
      <c r="A2" s="3"/>
      <c r="B2" s="7" t="s">
        <v>343</v>
      </c>
      <c r="C2" s="7" t="s">
        <v>344</v>
      </c>
      <c r="D2" s="7" t="s">
        <v>345</v>
      </c>
      <c r="E2" s="7" t="s">
        <v>346</v>
      </c>
      <c r="F2" s="7" t="s">
        <v>347</v>
      </c>
    </row>
    <row r="3" spans="1:6" ht="15" customHeight="1" x14ac:dyDescent="0.3">
      <c r="A3" s="69" t="s">
        <v>446</v>
      </c>
      <c r="B3" s="70"/>
      <c r="C3" s="70"/>
      <c r="D3" s="70"/>
      <c r="E3" s="70"/>
      <c r="F3" s="70"/>
    </row>
    <row r="4" spans="1:6" ht="15" customHeight="1" x14ac:dyDescent="0.3">
      <c r="A4" s="6" t="s">
        <v>447</v>
      </c>
      <c r="B4" s="61">
        <f>'07 P&amp;L'!B33</f>
        <v>8260.98</v>
      </c>
      <c r="C4" s="61">
        <f>'07 P&amp;L'!C33</f>
        <v>22338.712650000001</v>
      </c>
      <c r="D4" s="61">
        <f>'07 P&amp;L'!D33</f>
        <v>51023.082299999995</v>
      </c>
      <c r="E4" s="61">
        <f>'07 P&amp;L'!E33</f>
        <v>96915.081449999998</v>
      </c>
      <c r="F4" s="61">
        <f>'07 P&amp;L'!F33</f>
        <v>171466.79054999998</v>
      </c>
    </row>
    <row r="5" spans="1:6" ht="15" customHeight="1" x14ac:dyDescent="0.3">
      <c r="A5" s="6" t="s">
        <v>448</v>
      </c>
      <c r="B5" s="62">
        <v>7.2</v>
      </c>
      <c r="C5" s="62">
        <v>8.6</v>
      </c>
      <c r="D5" s="62">
        <v>9.8000000000000007</v>
      </c>
      <c r="E5" s="62">
        <v>10.5</v>
      </c>
      <c r="F5" s="62">
        <v>11.2</v>
      </c>
    </row>
    <row r="6" spans="1:6" ht="15" customHeight="1" x14ac:dyDescent="0.3">
      <c r="A6" s="6" t="s">
        <v>449</v>
      </c>
      <c r="B6" s="62">
        <v>2.2999999999999998</v>
      </c>
      <c r="C6" s="62">
        <v>2.2999999999999998</v>
      </c>
      <c r="D6" s="62">
        <v>2.0699999999999998</v>
      </c>
      <c r="E6" s="62">
        <v>1.84</v>
      </c>
      <c r="F6" s="62">
        <v>1.38</v>
      </c>
    </row>
    <row r="7" spans="1:6" ht="15" customHeight="1" x14ac:dyDescent="0.3">
      <c r="A7" s="10" t="s">
        <v>450</v>
      </c>
      <c r="B7" s="63"/>
      <c r="C7" s="63"/>
      <c r="D7" s="63"/>
      <c r="E7" s="63"/>
      <c r="F7" s="63"/>
    </row>
    <row r="8" spans="1:6" ht="15" customHeight="1" x14ac:dyDescent="0.3">
      <c r="A8" s="6" t="s">
        <v>451</v>
      </c>
      <c r="B8" s="62">
        <v>-3.5</v>
      </c>
      <c r="C8" s="62">
        <v>-3.7</v>
      </c>
      <c r="D8" s="62">
        <v>-6.6</v>
      </c>
      <c r="E8" s="62">
        <v>-8.6999999999999993</v>
      </c>
      <c r="F8" s="62">
        <v>-13.7</v>
      </c>
    </row>
    <row r="9" spans="1:6" ht="15" customHeight="1" x14ac:dyDescent="0.3">
      <c r="A9" s="6" t="s">
        <v>452</v>
      </c>
      <c r="B9" s="62">
        <v>-11</v>
      </c>
      <c r="C9" s="62">
        <v>-2.2000000000000002</v>
      </c>
      <c r="D9" s="62">
        <v>-3.3</v>
      </c>
      <c r="E9" s="62">
        <v>-4.3</v>
      </c>
      <c r="F9" s="62">
        <v>-5.6</v>
      </c>
    </row>
    <row r="10" spans="1:6" ht="15" customHeight="1" x14ac:dyDescent="0.3">
      <c r="A10" s="6" t="s">
        <v>453</v>
      </c>
      <c r="B10" s="62">
        <v>4.5</v>
      </c>
      <c r="C10" s="62">
        <v>2.7</v>
      </c>
      <c r="D10" s="62">
        <v>4.3</v>
      </c>
      <c r="E10" s="62">
        <v>6.3</v>
      </c>
      <c r="F10" s="62">
        <v>8.6999999999999993</v>
      </c>
    </row>
    <row r="11" spans="1:6" ht="15" customHeight="1" x14ac:dyDescent="0.3">
      <c r="A11" s="6" t="s">
        <v>454</v>
      </c>
      <c r="B11" s="62">
        <v>0.8</v>
      </c>
      <c r="C11" s="62">
        <v>1</v>
      </c>
      <c r="D11" s="62">
        <v>1.2</v>
      </c>
      <c r="E11" s="62">
        <v>1.5</v>
      </c>
      <c r="F11" s="62">
        <v>1.8</v>
      </c>
    </row>
    <row r="12" spans="1:6" ht="15" customHeight="1" x14ac:dyDescent="0.3">
      <c r="A12" s="58" t="s">
        <v>455</v>
      </c>
      <c r="B12" s="59">
        <f>SUM(B4:B11)</f>
        <v>8261.2799999999988</v>
      </c>
      <c r="C12" s="59">
        <f>SUM(C4:C11)</f>
        <v>22347.412649999998</v>
      </c>
      <c r="D12" s="59">
        <f>SUM(D4:D11)</f>
        <v>51030.552299999996</v>
      </c>
      <c r="E12" s="59">
        <f>SUM(E4:E11)</f>
        <v>96922.221449999997</v>
      </c>
      <c r="F12" s="59">
        <f>SUM(F4:F11)</f>
        <v>171470.57054999997</v>
      </c>
    </row>
    <row r="13" spans="1:6" ht="15" customHeight="1" x14ac:dyDescent="0.3">
      <c r="A13" s="69" t="s">
        <v>456</v>
      </c>
      <c r="B13" s="70"/>
      <c r="C13" s="70"/>
      <c r="D13" s="70"/>
      <c r="E13" s="70"/>
      <c r="F13" s="70"/>
    </row>
    <row r="14" spans="1:6" ht="15" customHeight="1" x14ac:dyDescent="0.3">
      <c r="A14" s="6" t="s">
        <v>457</v>
      </c>
      <c r="B14" s="62">
        <v>-12</v>
      </c>
      <c r="C14" s="62">
        <v>-6</v>
      </c>
      <c r="D14" s="62">
        <v>-10</v>
      </c>
      <c r="E14" s="62">
        <v>-8</v>
      </c>
      <c r="F14" s="62">
        <v>-35</v>
      </c>
    </row>
    <row r="15" spans="1:6" ht="15" customHeight="1" x14ac:dyDescent="0.3">
      <c r="A15" s="6" t="s">
        <v>458</v>
      </c>
      <c r="B15" s="62">
        <v>-9</v>
      </c>
      <c r="C15" s="62">
        <v>0</v>
      </c>
      <c r="D15" s="62">
        <v>-1.5</v>
      </c>
      <c r="E15" s="62">
        <v>-1</v>
      </c>
      <c r="F15" s="62">
        <v>0</v>
      </c>
    </row>
    <row r="16" spans="1:6" ht="15" customHeight="1" x14ac:dyDescent="0.3">
      <c r="A16" s="6" t="s">
        <v>424</v>
      </c>
      <c r="B16" s="62">
        <v>-0.5</v>
      </c>
      <c r="C16" s="62">
        <v>0</v>
      </c>
      <c r="D16" s="62">
        <v>0</v>
      </c>
      <c r="E16" s="62">
        <v>0</v>
      </c>
      <c r="F16" s="62">
        <v>0</v>
      </c>
    </row>
    <row r="17" spans="1:6" ht="15" customHeight="1" x14ac:dyDescent="0.3">
      <c r="A17" s="58" t="s">
        <v>459</v>
      </c>
      <c r="B17" s="59">
        <f>SUM(B14:B16)</f>
        <v>-21.5</v>
      </c>
      <c r="C17" s="59">
        <f>SUM(C14:C16)</f>
        <v>-6</v>
      </c>
      <c r="D17" s="59">
        <f>SUM(D14:D16)</f>
        <v>-11.5</v>
      </c>
      <c r="E17" s="59">
        <f>SUM(E14:E16)</f>
        <v>-9</v>
      </c>
      <c r="F17" s="59">
        <f>SUM(F14:F16)</f>
        <v>-35</v>
      </c>
    </row>
    <row r="18" spans="1:6" ht="15" customHeight="1" x14ac:dyDescent="0.3">
      <c r="A18" s="69" t="s">
        <v>460</v>
      </c>
      <c r="B18" s="70"/>
      <c r="C18" s="70"/>
      <c r="D18" s="70"/>
      <c r="E18" s="70"/>
      <c r="F18" s="70"/>
    </row>
    <row r="19" spans="1:6" ht="15" customHeight="1" x14ac:dyDescent="0.3">
      <c r="A19" s="6" t="s">
        <v>461</v>
      </c>
      <c r="B19" s="62">
        <v>30</v>
      </c>
      <c r="C19" s="62">
        <v>0</v>
      </c>
      <c r="D19" s="62">
        <v>0</v>
      </c>
      <c r="E19" s="62">
        <v>0</v>
      </c>
      <c r="F19" s="62">
        <v>0</v>
      </c>
    </row>
    <row r="20" spans="1:6" ht="15" customHeight="1" x14ac:dyDescent="0.3">
      <c r="A20" s="6" t="s">
        <v>462</v>
      </c>
      <c r="B20" s="62">
        <v>5</v>
      </c>
      <c r="C20" s="62">
        <v>0</v>
      </c>
      <c r="D20" s="62">
        <v>0</v>
      </c>
      <c r="E20" s="62">
        <v>0</v>
      </c>
      <c r="F20" s="62">
        <v>0</v>
      </c>
    </row>
    <row r="21" spans="1:6" ht="15" customHeight="1" x14ac:dyDescent="0.3">
      <c r="A21" s="6" t="s">
        <v>463</v>
      </c>
      <c r="B21" s="62">
        <v>15</v>
      </c>
      <c r="C21" s="62">
        <v>0</v>
      </c>
      <c r="D21" s="62">
        <v>0</v>
      </c>
      <c r="E21" s="62">
        <v>0</v>
      </c>
      <c r="F21" s="62">
        <v>0</v>
      </c>
    </row>
    <row r="22" spans="1:6" ht="15" customHeight="1" x14ac:dyDescent="0.3">
      <c r="A22" s="6" t="s">
        <v>464</v>
      </c>
      <c r="B22" s="62">
        <v>0</v>
      </c>
      <c r="C22" s="62">
        <v>-2.1</v>
      </c>
      <c r="D22" s="62">
        <v>-2.1</v>
      </c>
      <c r="E22" s="62">
        <v>-3.3</v>
      </c>
      <c r="F22" s="62">
        <v>-3</v>
      </c>
    </row>
    <row r="23" spans="1:6" ht="15" customHeight="1" x14ac:dyDescent="0.3">
      <c r="A23" s="6" t="s">
        <v>465</v>
      </c>
      <c r="B23" s="62">
        <v>-2.2999999999999998</v>
      </c>
      <c r="C23" s="62">
        <v>-2.2999999999999998</v>
      </c>
      <c r="D23" s="62">
        <v>-2.0699999999999998</v>
      </c>
      <c r="E23" s="62">
        <v>-1.84</v>
      </c>
      <c r="F23" s="62">
        <v>-1.38</v>
      </c>
    </row>
    <row r="24" spans="1:6" ht="15" customHeight="1" x14ac:dyDescent="0.3">
      <c r="A24" s="6" t="s">
        <v>466</v>
      </c>
      <c r="B24" s="62">
        <v>0</v>
      </c>
      <c r="C24" s="62">
        <v>0</v>
      </c>
      <c r="D24" s="62">
        <v>0</v>
      </c>
      <c r="E24" s="62">
        <v>0</v>
      </c>
      <c r="F24" s="62">
        <v>0</v>
      </c>
    </row>
    <row r="25" spans="1:6" ht="15" customHeight="1" x14ac:dyDescent="0.3">
      <c r="A25" s="58" t="s">
        <v>467</v>
      </c>
      <c r="B25" s="59">
        <f>SUM(B19:B24)</f>
        <v>47.7</v>
      </c>
      <c r="C25" s="59">
        <f>SUM(C19:C24)</f>
        <v>-4.4000000000000004</v>
      </c>
      <c r="D25" s="59">
        <f>SUM(D19:D24)</f>
        <v>-4.17</v>
      </c>
      <c r="E25" s="59">
        <f>SUM(E19:E24)</f>
        <v>-5.14</v>
      </c>
      <c r="F25" s="59">
        <f>SUM(F19:F24)</f>
        <v>-4.38</v>
      </c>
    </row>
    <row r="26" spans="1:6" ht="15" customHeight="1" x14ac:dyDescent="0.3">
      <c r="A26" s="65" t="s">
        <v>468</v>
      </c>
      <c r="B26" s="66">
        <f>B12+B17+B25</f>
        <v>8287.48</v>
      </c>
      <c r="C26" s="66">
        <f>C12+C17+C25</f>
        <v>22337.012649999997</v>
      </c>
      <c r="D26" s="66">
        <f>D12+D17+D25</f>
        <v>51014.882299999997</v>
      </c>
      <c r="E26" s="66">
        <f>E12+E17+E25</f>
        <v>96908.081449999998</v>
      </c>
      <c r="F26" s="66">
        <f>F12+F17+F25</f>
        <v>171431.19054999997</v>
      </c>
    </row>
    <row r="27" spans="1:6" ht="15" customHeight="1" x14ac:dyDescent="0.3">
      <c r="A27" s="6" t="s">
        <v>469</v>
      </c>
      <c r="B27" s="62">
        <v>0</v>
      </c>
      <c r="C27" s="61">
        <f>B5</f>
        <v>7.2</v>
      </c>
      <c r="D27" s="61">
        <f>C5</f>
        <v>8.6</v>
      </c>
      <c r="E27" s="61">
        <f>D5</f>
        <v>9.8000000000000007</v>
      </c>
      <c r="F27" s="61">
        <f>E5</f>
        <v>10.5</v>
      </c>
    </row>
    <row r="28" spans="1:6" ht="15" customHeight="1" x14ac:dyDescent="0.3">
      <c r="A28" s="71" t="s">
        <v>470</v>
      </c>
      <c r="B28" s="72">
        <f>B27+B26</f>
        <v>8287.48</v>
      </c>
      <c r="C28" s="72">
        <f>C27+C26</f>
        <v>22344.212649999998</v>
      </c>
      <c r="D28" s="72">
        <f>D27+D26</f>
        <v>51023.482299999996</v>
      </c>
      <c r="E28" s="72">
        <f>E27+E26</f>
        <v>96917.881450000001</v>
      </c>
      <c r="F28" s="72">
        <f>F27+F26</f>
        <v>171441.69054999997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9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6" customWidth="1"/>
    <col min="2" max="7" width="16" customWidth="1"/>
    <col min="8" max="8" width="20" customWidth="1"/>
  </cols>
  <sheetData>
    <row r="1" spans="1:8" ht="15" customHeight="1" x14ac:dyDescent="0.3">
      <c r="A1" s="94" t="s">
        <v>471</v>
      </c>
      <c r="B1" s="94"/>
      <c r="C1" s="94"/>
      <c r="D1" s="94"/>
      <c r="E1" s="94"/>
      <c r="F1" s="94"/>
      <c r="G1" s="94"/>
      <c r="H1" s="94"/>
    </row>
    <row r="3" spans="1:8" ht="15" customHeight="1" x14ac:dyDescent="0.3">
      <c r="A3" s="95" t="s">
        <v>472</v>
      </c>
      <c r="B3" s="95"/>
      <c r="C3" s="95"/>
      <c r="D3" s="95"/>
      <c r="E3" s="95"/>
      <c r="F3" s="95"/>
      <c r="G3" s="95"/>
      <c r="H3" s="95"/>
    </row>
    <row r="4" spans="1:8" ht="15" customHeight="1" x14ac:dyDescent="0.3">
      <c r="A4" s="3" t="s">
        <v>329</v>
      </c>
      <c r="B4" s="7" t="s">
        <v>343</v>
      </c>
      <c r="C4" s="7" t="s">
        <v>344</v>
      </c>
      <c r="D4" s="7" t="s">
        <v>345</v>
      </c>
      <c r="E4" s="7" t="s">
        <v>346</v>
      </c>
      <c r="F4" s="7" t="s">
        <v>347</v>
      </c>
    </row>
    <row r="5" spans="1:8" ht="15" customHeight="1" x14ac:dyDescent="0.3">
      <c r="A5" s="6" t="s">
        <v>473</v>
      </c>
      <c r="B5" s="61">
        <f>'07 P&amp;L'!B29</f>
        <v>11016.939999999999</v>
      </c>
      <c r="C5" s="61">
        <f>'07 P&amp;L'!C29</f>
        <v>29787.250200000002</v>
      </c>
      <c r="D5" s="61">
        <f>'07 P&amp;L'!D29</f>
        <v>68032.846399999995</v>
      </c>
      <c r="E5" s="61">
        <f>'07 P&amp;L'!E29</f>
        <v>129221.94859999999</v>
      </c>
      <c r="F5" s="61">
        <f>'07 P&amp;L'!F29</f>
        <v>228623.76739999998</v>
      </c>
    </row>
    <row r="6" spans="1:8" ht="15" customHeight="1" x14ac:dyDescent="0.3">
      <c r="A6" s="4" t="s">
        <v>474</v>
      </c>
      <c r="B6" s="73">
        <f>B5*0.25</f>
        <v>2754.2349999999997</v>
      </c>
      <c r="C6" s="73">
        <f>C5*0.25</f>
        <v>7446.8125500000006</v>
      </c>
      <c r="D6" s="73">
        <f>D5*0.25</f>
        <v>17008.211599999999</v>
      </c>
      <c r="E6" s="73">
        <f>E5*0.25</f>
        <v>32305.487149999997</v>
      </c>
      <c r="F6" s="73">
        <f>F5*0.25</f>
        <v>57155.941849999996</v>
      </c>
    </row>
    <row r="7" spans="1:8" ht="15" customHeight="1" x14ac:dyDescent="0.3">
      <c r="A7" s="58" t="s">
        <v>475</v>
      </c>
      <c r="B7" s="59">
        <f>B5-B6</f>
        <v>8262.7049999999981</v>
      </c>
      <c r="C7" s="59">
        <f>C5-C6</f>
        <v>22340.43765</v>
      </c>
      <c r="D7" s="59">
        <f>D5-D6</f>
        <v>51024.6348</v>
      </c>
      <c r="E7" s="59">
        <f>E5-E6</f>
        <v>96916.461449999988</v>
      </c>
      <c r="F7" s="59">
        <f>F5-F6</f>
        <v>171467.82554999998</v>
      </c>
    </row>
    <row r="8" spans="1:8" ht="15" customHeight="1" x14ac:dyDescent="0.3">
      <c r="A8" s="4" t="s">
        <v>476</v>
      </c>
      <c r="B8" s="74">
        <v>7.2</v>
      </c>
      <c r="C8" s="74">
        <v>8.6</v>
      </c>
      <c r="D8" s="74">
        <v>9.8000000000000007</v>
      </c>
      <c r="E8" s="74">
        <v>10.5</v>
      </c>
      <c r="F8" s="74">
        <v>11.2</v>
      </c>
    </row>
    <row r="9" spans="1:8" ht="15" customHeight="1" x14ac:dyDescent="0.3">
      <c r="A9" s="6" t="s">
        <v>477</v>
      </c>
      <c r="B9" s="62">
        <v>-12</v>
      </c>
      <c r="C9" s="62">
        <v>-6</v>
      </c>
      <c r="D9" s="62">
        <v>-10</v>
      </c>
      <c r="E9" s="62">
        <v>-8</v>
      </c>
      <c r="F9" s="62">
        <v>-35</v>
      </c>
    </row>
    <row r="10" spans="1:8" ht="15" customHeight="1" x14ac:dyDescent="0.3">
      <c r="A10" s="4" t="s">
        <v>478</v>
      </c>
      <c r="B10" s="74">
        <v>-9.1999999999999993</v>
      </c>
      <c r="C10" s="74">
        <v>-2.2000000000000002</v>
      </c>
      <c r="D10" s="74">
        <v>-4.4000000000000004</v>
      </c>
      <c r="E10" s="74">
        <v>-5.2</v>
      </c>
      <c r="F10" s="74">
        <v>-8.8000000000000007</v>
      </c>
    </row>
    <row r="11" spans="1:8" ht="15" customHeight="1" x14ac:dyDescent="0.3">
      <c r="A11" s="58" t="s">
        <v>479</v>
      </c>
      <c r="B11" s="59">
        <f>B7+B8+B9+B10</f>
        <v>8248.7049999999981</v>
      </c>
      <c r="C11" s="59">
        <f>C7+C8+C9+C10</f>
        <v>22340.837649999998</v>
      </c>
      <c r="D11" s="59">
        <f>D7+D8+D9+D10</f>
        <v>51020.034800000001</v>
      </c>
      <c r="E11" s="59">
        <f>E7+E8+E9+E10</f>
        <v>96913.761449999991</v>
      </c>
      <c r="F11" s="59">
        <f>F7+F8+F9+F10</f>
        <v>171435.22555</v>
      </c>
    </row>
    <row r="13" spans="1:8" ht="15" customHeight="1" x14ac:dyDescent="0.3">
      <c r="A13" s="95" t="s">
        <v>480</v>
      </c>
      <c r="B13" s="95"/>
      <c r="C13" s="95"/>
      <c r="D13" s="95"/>
      <c r="E13" s="95"/>
      <c r="F13" s="95"/>
      <c r="G13" s="95"/>
      <c r="H13" s="95"/>
    </row>
    <row r="14" spans="1:8" ht="15" customHeight="1" x14ac:dyDescent="0.3">
      <c r="A14" s="4" t="s">
        <v>481</v>
      </c>
      <c r="B14" s="75">
        <f>'06 Financing'!G19</f>
        <v>0.17585454545454543</v>
      </c>
    </row>
    <row r="15" spans="1:8" ht="15" customHeight="1" x14ac:dyDescent="0.3">
      <c r="A15" s="4" t="s">
        <v>213</v>
      </c>
      <c r="B15" s="75">
        <f>'04 Assumptions'!B38</f>
        <v>7.2999999999999995E-2</v>
      </c>
    </row>
    <row r="16" spans="1:8" ht="15" customHeight="1" x14ac:dyDescent="0.3">
      <c r="A16" s="58" t="s">
        <v>482</v>
      </c>
      <c r="B16" s="76">
        <f>F11*(1+B15)/(B14-B15)</f>
        <v>1788447.9115844532</v>
      </c>
    </row>
    <row r="17" spans="1:8" ht="15" customHeight="1" x14ac:dyDescent="0.3">
      <c r="A17" s="3" t="s">
        <v>483</v>
      </c>
      <c r="B17" s="7" t="s">
        <v>343</v>
      </c>
      <c r="C17" s="7" t="s">
        <v>344</v>
      </c>
      <c r="D17" s="7" t="s">
        <v>345</v>
      </c>
      <c r="E17" s="7" t="s">
        <v>346</v>
      </c>
      <c r="F17" s="7" t="s">
        <v>347</v>
      </c>
    </row>
    <row r="18" spans="1:8" ht="15" customHeight="1" x14ac:dyDescent="0.3">
      <c r="A18" s="4" t="s">
        <v>261</v>
      </c>
      <c r="B18" s="77">
        <v>1</v>
      </c>
      <c r="C18" s="77">
        <v>2</v>
      </c>
      <c r="D18" s="77">
        <v>3</v>
      </c>
      <c r="E18" s="77">
        <v>4</v>
      </c>
      <c r="F18" s="77">
        <v>5</v>
      </c>
    </row>
    <row r="19" spans="1:8" ht="15" customHeight="1" x14ac:dyDescent="0.3">
      <c r="A19" s="4" t="s">
        <v>479</v>
      </c>
      <c r="B19" s="73">
        <f>B11</f>
        <v>8248.7049999999981</v>
      </c>
      <c r="C19" s="73">
        <f>C11</f>
        <v>22340.837649999998</v>
      </c>
      <c r="D19" s="73">
        <f>D11</f>
        <v>51020.034800000001</v>
      </c>
      <c r="E19" s="73">
        <f>E11</f>
        <v>96913.761449999991</v>
      </c>
      <c r="F19" s="73">
        <f>F11</f>
        <v>171435.22555</v>
      </c>
    </row>
    <row r="20" spans="1:8" ht="15" customHeight="1" x14ac:dyDescent="0.3">
      <c r="A20" s="4" t="s">
        <v>484</v>
      </c>
      <c r="B20" s="73">
        <v>0</v>
      </c>
      <c r="C20" s="73">
        <v>0</v>
      </c>
      <c r="D20" s="73">
        <v>0</v>
      </c>
      <c r="E20" s="73">
        <v>0</v>
      </c>
      <c r="F20" s="73">
        <f>$B$16</f>
        <v>1788447.9115844532</v>
      </c>
    </row>
    <row r="21" spans="1:8" ht="15" customHeight="1" x14ac:dyDescent="0.3">
      <c r="A21" s="4" t="s">
        <v>485</v>
      </c>
      <c r="B21" s="73">
        <f>B19+B20</f>
        <v>8248.7049999999981</v>
      </c>
      <c r="C21" s="73">
        <f>C19+C20</f>
        <v>22340.837649999998</v>
      </c>
      <c r="D21" s="73">
        <f>D19+D20</f>
        <v>51020.034800000001</v>
      </c>
      <c r="E21" s="73">
        <f>E19+E20</f>
        <v>96913.761449999991</v>
      </c>
      <c r="F21" s="73">
        <f>F19+F20</f>
        <v>1959883.1371344533</v>
      </c>
    </row>
    <row r="22" spans="1:8" ht="15" customHeight="1" x14ac:dyDescent="0.3">
      <c r="A22" s="4" t="s">
        <v>486</v>
      </c>
      <c r="B22" s="78">
        <f>1/(1+$B$14)^B18</f>
        <v>0.8504453240969817</v>
      </c>
      <c r="C22" s="78">
        <f>1/(1+$B$14)^C18</f>
        <v>0.72325724927842017</v>
      </c>
      <c r="D22" s="78">
        <f>1/(1+$B$14)^D18</f>
        <v>0.61509074576807754</v>
      </c>
      <c r="E22" s="78">
        <f>1/(1+$B$14)^E18</f>
        <v>0.52310104863378681</v>
      </c>
      <c r="F22" s="78">
        <f>1/(1+$B$14)^F18</f>
        <v>0.44486884084083178</v>
      </c>
    </row>
    <row r="23" spans="1:8" ht="15" customHeight="1" x14ac:dyDescent="0.3">
      <c r="A23" s="79" t="s">
        <v>487</v>
      </c>
      <c r="B23" s="80">
        <f>B21*B22</f>
        <v>7015.0725971053917</v>
      </c>
      <c r="C23" s="80">
        <f>C21*C22</f>
        <v>16158.172785314762</v>
      </c>
      <c r="D23" s="80">
        <f>D21*D22</f>
        <v>31381.951254245269</v>
      </c>
      <c r="E23" s="80">
        <f>E21*E22</f>
        <v>50695.690241539662</v>
      </c>
      <c r="F23" s="80">
        <f>F21*F22</f>
        <v>871890.93940049713</v>
      </c>
    </row>
    <row r="24" spans="1:8" ht="15" customHeight="1" x14ac:dyDescent="0.3">
      <c r="A24" s="35" t="s">
        <v>488</v>
      </c>
      <c r="B24" s="81">
        <f>SUM(B23:F23)</f>
        <v>977141.82627870224</v>
      </c>
      <c r="C24" s="38"/>
      <c r="D24" s="38"/>
      <c r="E24" s="38"/>
      <c r="F24" s="38"/>
      <c r="G24" s="38"/>
      <c r="H24" s="38"/>
    </row>
    <row r="26" spans="1:8" ht="15" customHeight="1" x14ac:dyDescent="0.3">
      <c r="A26" s="95" t="s">
        <v>489</v>
      </c>
      <c r="B26" s="95"/>
      <c r="C26" s="95"/>
      <c r="D26" s="95"/>
      <c r="E26" s="95"/>
      <c r="F26" s="95"/>
      <c r="G26" s="95"/>
      <c r="H26" s="95"/>
    </row>
    <row r="27" spans="1:8" ht="15" customHeight="1" x14ac:dyDescent="0.3">
      <c r="A27" s="4" t="s">
        <v>490</v>
      </c>
      <c r="B27" s="43">
        <v>55</v>
      </c>
    </row>
    <row r="28" spans="1:8" ht="15" customHeight="1" x14ac:dyDescent="0.3">
      <c r="A28" s="58" t="s">
        <v>491</v>
      </c>
      <c r="B28" s="59">
        <f>B24-B27</f>
        <v>977086.82627870224</v>
      </c>
    </row>
    <row r="29" spans="1:8" ht="15" customHeight="1" x14ac:dyDescent="0.3">
      <c r="A29" s="58" t="s">
        <v>492</v>
      </c>
      <c r="B29" s="64" t="s">
        <v>302</v>
      </c>
    </row>
    <row r="30" spans="1:8" ht="15" customHeight="1" x14ac:dyDescent="0.3">
      <c r="A30" s="58" t="s">
        <v>493</v>
      </c>
      <c r="B30" s="82">
        <v>3.2</v>
      </c>
    </row>
    <row r="31" spans="1:8" ht="15" customHeight="1" x14ac:dyDescent="0.3">
      <c r="A31" s="58" t="s">
        <v>494</v>
      </c>
      <c r="B31" s="83">
        <f>(B28+B27)/B27</f>
        <v>17766.215023249133</v>
      </c>
    </row>
    <row r="33" spans="1:8" ht="15" customHeight="1" x14ac:dyDescent="0.3">
      <c r="A33" s="95" t="s">
        <v>495</v>
      </c>
      <c r="B33" s="95"/>
      <c r="C33" s="95"/>
      <c r="D33" s="95"/>
      <c r="E33" s="95"/>
      <c r="F33" s="95"/>
      <c r="G33" s="95"/>
      <c r="H33" s="95"/>
    </row>
    <row r="34" spans="1:8" ht="15" customHeight="1" x14ac:dyDescent="0.3">
      <c r="A34" s="7" t="s">
        <v>496</v>
      </c>
      <c r="B34" s="7" t="s">
        <v>497</v>
      </c>
      <c r="C34" s="7" t="s">
        <v>498</v>
      </c>
      <c r="D34" s="7" t="s">
        <v>499</v>
      </c>
      <c r="E34" s="7" t="s">
        <v>500</v>
      </c>
      <c r="F34" s="7" t="s">
        <v>501</v>
      </c>
      <c r="G34" s="7" t="s">
        <v>502</v>
      </c>
    </row>
    <row r="35" spans="1:8" ht="15" customHeight="1" x14ac:dyDescent="0.3">
      <c r="A35" s="10" t="s">
        <v>503</v>
      </c>
      <c r="B35" s="84">
        <v>201.4</v>
      </c>
      <c r="C35" s="84">
        <v>139</v>
      </c>
      <c r="D35" s="84">
        <v>98.1</v>
      </c>
      <c r="E35" s="84">
        <v>69.400000000000006</v>
      </c>
      <c r="F35" s="84">
        <v>48.2</v>
      </c>
      <c r="G35" s="84">
        <v>32.1</v>
      </c>
    </row>
    <row r="36" spans="1:8" ht="15" customHeight="1" x14ac:dyDescent="0.3">
      <c r="A36" s="10" t="s">
        <v>504</v>
      </c>
      <c r="B36" s="84">
        <v>235.5</v>
      </c>
      <c r="C36" s="84">
        <v>158.80000000000001</v>
      </c>
      <c r="D36" s="84">
        <v>110.7</v>
      </c>
      <c r="E36" s="84">
        <v>77.900000000000006</v>
      </c>
      <c r="F36" s="84">
        <v>54.2</v>
      </c>
      <c r="G36" s="84">
        <v>36.5</v>
      </c>
    </row>
    <row r="37" spans="1:8" ht="15" customHeight="1" x14ac:dyDescent="0.3">
      <c r="A37" s="10" t="s">
        <v>505</v>
      </c>
      <c r="B37" s="84">
        <v>281.10000000000002</v>
      </c>
      <c r="C37" s="84">
        <v>183.5</v>
      </c>
      <c r="D37" s="84">
        <v>125.7</v>
      </c>
      <c r="E37" s="84">
        <v>87.8</v>
      </c>
      <c r="F37" s="84">
        <v>61.1</v>
      </c>
      <c r="G37" s="84">
        <v>41.4</v>
      </c>
    </row>
    <row r="38" spans="1:8" ht="15" customHeight="1" x14ac:dyDescent="0.3">
      <c r="A38" s="10" t="s">
        <v>506</v>
      </c>
      <c r="B38" s="84">
        <v>344.8</v>
      </c>
      <c r="C38" s="84">
        <v>215.3</v>
      </c>
      <c r="D38" s="84">
        <v>144.1</v>
      </c>
      <c r="E38" s="84">
        <v>99.5</v>
      </c>
      <c r="F38" s="84">
        <v>69</v>
      </c>
      <c r="G38" s="84">
        <v>47.1</v>
      </c>
    </row>
    <row r="39" spans="1:8" ht="15" customHeight="1" x14ac:dyDescent="0.3">
      <c r="A39" s="10" t="s">
        <v>507</v>
      </c>
      <c r="B39" s="84">
        <v>440.4</v>
      </c>
      <c r="C39" s="84">
        <v>257.7</v>
      </c>
      <c r="D39" s="84">
        <v>167.2</v>
      </c>
      <c r="E39" s="84">
        <v>113.5</v>
      </c>
      <c r="F39" s="84">
        <v>78.3</v>
      </c>
      <c r="G39" s="84">
        <v>53.5</v>
      </c>
    </row>
  </sheetData>
  <mergeCells count="5">
    <mergeCell ref="A1:H1"/>
    <mergeCell ref="A3:H3"/>
    <mergeCell ref="A13:H13"/>
    <mergeCell ref="A26:H26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36" customWidth="1"/>
    <col min="2" max="2" width="18" customWidth="1"/>
    <col min="3" max="7" width="14" customWidth="1"/>
  </cols>
  <sheetData>
    <row r="1" spans="1:7" ht="15" customHeight="1" x14ac:dyDescent="0.3">
      <c r="A1" s="94" t="s">
        <v>508</v>
      </c>
      <c r="B1" s="94"/>
      <c r="C1" s="94"/>
      <c r="D1" s="94"/>
      <c r="E1" s="94"/>
      <c r="F1" s="94"/>
      <c r="G1" s="94"/>
    </row>
    <row r="3" spans="1:7" ht="15" customHeight="1" x14ac:dyDescent="0.3">
      <c r="A3" s="95" t="s">
        <v>509</v>
      </c>
      <c r="B3" s="95"/>
      <c r="C3" s="95"/>
      <c r="D3" s="95"/>
      <c r="E3" s="95"/>
      <c r="F3" s="95"/>
      <c r="G3" s="95"/>
    </row>
    <row r="4" spans="1:7" ht="15" customHeight="1" x14ac:dyDescent="0.3">
      <c r="A4" s="7" t="s">
        <v>510</v>
      </c>
      <c r="B4" s="7" t="s">
        <v>161</v>
      </c>
      <c r="C4" s="7" t="s">
        <v>162</v>
      </c>
      <c r="D4" s="7" t="s">
        <v>163</v>
      </c>
      <c r="E4" s="7" t="s">
        <v>164</v>
      </c>
      <c r="F4" s="7" t="s">
        <v>165</v>
      </c>
      <c r="G4" s="7" t="s">
        <v>348</v>
      </c>
    </row>
    <row r="5" spans="1:7" ht="15" customHeight="1" x14ac:dyDescent="0.3">
      <c r="A5" s="6" t="s">
        <v>511</v>
      </c>
      <c r="B5" s="85">
        <f>'07 P&amp;L'!B11</f>
        <v>26993</v>
      </c>
      <c r="C5" s="85">
        <f>'07 P&amp;L'!C11</f>
        <v>70845.990000000005</v>
      </c>
      <c r="D5" s="85">
        <f>'07 P&amp;L'!D11</f>
        <v>157021.18</v>
      </c>
      <c r="E5" s="85">
        <f>'07 P&amp;L'!E11</f>
        <v>284567.57</v>
      </c>
      <c r="F5" s="85">
        <f>'07 P&amp;L'!F11</f>
        <v>480291.13</v>
      </c>
      <c r="G5" s="86" t="s">
        <v>512</v>
      </c>
    </row>
    <row r="6" spans="1:7" ht="15" customHeight="1" x14ac:dyDescent="0.3">
      <c r="A6" s="4" t="s">
        <v>390</v>
      </c>
      <c r="B6" s="75">
        <f>'07 P&amp;L'!B19</f>
        <v>0.40948171748231021</v>
      </c>
      <c r="C6" s="75">
        <f>'07 P&amp;L'!C19</f>
        <v>0.42104105257051244</v>
      </c>
      <c r="D6" s="75">
        <f>'07 P&amp;L'!D19</f>
        <v>0.43357689962589763</v>
      </c>
      <c r="E6" s="75">
        <f>'07 P&amp;L'!E19</f>
        <v>0.45429006052938498</v>
      </c>
      <c r="F6" s="75">
        <f>'07 P&amp;L'!F19</f>
        <v>0.47613893556601805</v>
      </c>
      <c r="G6" s="22" t="s">
        <v>513</v>
      </c>
    </row>
    <row r="7" spans="1:7" ht="15" customHeight="1" x14ac:dyDescent="0.3">
      <c r="A7" s="6" t="s">
        <v>514</v>
      </c>
      <c r="B7" s="85">
        <f>'07 P&amp;L'!B27</f>
        <v>11024.14</v>
      </c>
      <c r="C7" s="85">
        <f>'07 P&amp;L'!C27</f>
        <v>29795.850200000001</v>
      </c>
      <c r="D7" s="85">
        <f>'07 P&amp;L'!D27</f>
        <v>68042.646399999998</v>
      </c>
      <c r="E7" s="85">
        <f>'07 P&amp;L'!E27</f>
        <v>129232.44859999999</v>
      </c>
      <c r="F7" s="85">
        <f>'07 P&amp;L'!F27</f>
        <v>228634.96739999999</v>
      </c>
      <c r="G7" s="86" t="s">
        <v>515</v>
      </c>
    </row>
    <row r="8" spans="1:7" ht="15" customHeight="1" x14ac:dyDescent="0.3">
      <c r="A8" s="4" t="s">
        <v>399</v>
      </c>
      <c r="B8" s="75">
        <f>'07 P&amp;L'!B28</f>
        <v>0.40840736487237428</v>
      </c>
      <c r="C8" s="75">
        <f>'07 P&amp;L'!C28</f>
        <v>0.4205721481201688</v>
      </c>
      <c r="D8" s="75">
        <f>'07 P&amp;L'!D28</f>
        <v>0.43333419351453095</v>
      </c>
      <c r="E8" s="75">
        <f>'07 P&amp;L'!E28</f>
        <v>0.45413624820284332</v>
      </c>
      <c r="F8" s="75">
        <f>'07 P&amp;L'!F28</f>
        <v>0.47603412413633373</v>
      </c>
      <c r="G8" s="22" t="s">
        <v>516</v>
      </c>
    </row>
    <row r="9" spans="1:7" ht="15" customHeight="1" x14ac:dyDescent="0.3">
      <c r="A9" s="6" t="s">
        <v>517</v>
      </c>
      <c r="B9" s="85">
        <f>'07 P&amp;L'!B33</f>
        <v>8260.98</v>
      </c>
      <c r="C9" s="85">
        <f>'07 P&amp;L'!C33</f>
        <v>22338.712650000001</v>
      </c>
      <c r="D9" s="85">
        <f>'07 P&amp;L'!D33</f>
        <v>51023.082299999995</v>
      </c>
      <c r="E9" s="85">
        <f>'07 P&amp;L'!E33</f>
        <v>96915.081449999998</v>
      </c>
      <c r="F9" s="85">
        <f>'07 P&amp;L'!F33</f>
        <v>171466.79054999998</v>
      </c>
      <c r="G9" s="86" t="s">
        <v>518</v>
      </c>
    </row>
    <row r="10" spans="1:7" ht="15" customHeight="1" x14ac:dyDescent="0.3">
      <c r="A10" s="4" t="s">
        <v>405</v>
      </c>
      <c r="B10" s="75">
        <f>'07 P&amp;L'!B34</f>
        <v>0.30604156633201196</v>
      </c>
      <c r="C10" s="75">
        <f>'07 P&amp;L'!C34</f>
        <v>0.31531371994378227</v>
      </c>
      <c r="D10" s="75">
        <f>'07 P&amp;L'!D34</f>
        <v>0.3249439489628087</v>
      </c>
      <c r="E10" s="75">
        <f>'07 P&amp;L'!E34</f>
        <v>0.34056966312078357</v>
      </c>
      <c r="F10" s="75">
        <f>'07 P&amp;L'!F34</f>
        <v>0.35700594876694886</v>
      </c>
      <c r="G10" s="22" t="s">
        <v>519</v>
      </c>
    </row>
    <row r="11" spans="1:7" ht="15" customHeight="1" x14ac:dyDescent="0.3">
      <c r="A11" s="6" t="s">
        <v>520</v>
      </c>
      <c r="B11" s="85">
        <f>'09 Cash Flow'!B28</f>
        <v>8287.48</v>
      </c>
      <c r="C11" s="85">
        <f>'09 Cash Flow'!C28</f>
        <v>22344.212649999998</v>
      </c>
      <c r="D11" s="85">
        <f>'09 Cash Flow'!D28</f>
        <v>51023.482299999996</v>
      </c>
      <c r="E11" s="85">
        <f>'09 Cash Flow'!E28</f>
        <v>96917.881450000001</v>
      </c>
      <c r="F11" s="85">
        <f>'09 Cash Flow'!F28</f>
        <v>171441.69054999997</v>
      </c>
      <c r="G11" s="86" t="s">
        <v>521</v>
      </c>
    </row>
    <row r="12" spans="1:7" ht="15" customHeight="1" x14ac:dyDescent="0.3">
      <c r="A12" s="4" t="s">
        <v>522</v>
      </c>
      <c r="B12" s="87">
        <f>'07 P&amp;L'!B4+'07 P&amp;L'!B5</f>
        <v>700</v>
      </c>
      <c r="C12" s="87">
        <f>'07 P&amp;L'!C4+'07 P&amp;L'!C5</f>
        <v>1800</v>
      </c>
      <c r="D12" s="87">
        <f>'07 P&amp;L'!D4+'07 P&amp;L'!D5</f>
        <v>3900</v>
      </c>
      <c r="E12" s="87">
        <f>'07 P&amp;L'!E4+'07 P&amp;L'!E5</f>
        <v>6800</v>
      </c>
      <c r="F12" s="87">
        <f>'07 P&amp;L'!F4+'07 P&amp;L'!F5</f>
        <v>11000</v>
      </c>
      <c r="G12" s="22" t="s">
        <v>523</v>
      </c>
    </row>
    <row r="13" spans="1:7" ht="15" customHeight="1" x14ac:dyDescent="0.3">
      <c r="A13" s="6" t="s">
        <v>524</v>
      </c>
      <c r="B13" s="85">
        <f>'10 Cap Budget'!B28</f>
        <v>977086.82627870224</v>
      </c>
      <c r="C13" s="88"/>
      <c r="D13" s="88"/>
      <c r="E13" s="88"/>
      <c r="F13" s="88"/>
      <c r="G13" s="86" t="s">
        <v>525</v>
      </c>
    </row>
    <row r="14" spans="1:7" ht="15" customHeight="1" x14ac:dyDescent="0.3">
      <c r="A14" s="4" t="s">
        <v>526</v>
      </c>
      <c r="B14" s="75" t="str">
        <f>'10 Cap Budget'!B29</f>
        <v>N/A</v>
      </c>
      <c r="C14" s="89"/>
      <c r="D14" s="89"/>
      <c r="E14" s="89"/>
      <c r="F14" s="89"/>
      <c r="G14" s="22" t="s">
        <v>527</v>
      </c>
    </row>
    <row r="15" spans="1:7" ht="15" customHeight="1" x14ac:dyDescent="0.3">
      <c r="A15" s="6" t="s">
        <v>493</v>
      </c>
      <c r="B15" s="90">
        <f>'10 Cap Budget'!B30</f>
        <v>3.2</v>
      </c>
      <c r="C15" s="91"/>
      <c r="D15" s="91"/>
      <c r="E15" s="91"/>
      <c r="F15" s="91"/>
      <c r="G15" s="86" t="s">
        <v>528</v>
      </c>
    </row>
    <row r="16" spans="1:7" ht="15" customHeight="1" x14ac:dyDescent="0.3">
      <c r="A16" s="4" t="s">
        <v>529</v>
      </c>
      <c r="B16" s="75">
        <f>'06 Financing'!G19</f>
        <v>0.17585454545454543</v>
      </c>
      <c r="C16" s="89"/>
      <c r="D16" s="89"/>
      <c r="E16" s="89"/>
      <c r="F16" s="89"/>
      <c r="G16" s="22" t="s">
        <v>363</v>
      </c>
    </row>
    <row r="18" spans="1:7" ht="15" customHeight="1" x14ac:dyDescent="0.3">
      <c r="A18" s="95" t="s">
        <v>530</v>
      </c>
      <c r="B18" s="95"/>
      <c r="C18" s="95"/>
      <c r="D18" s="95"/>
      <c r="E18" s="95"/>
      <c r="F18" s="95"/>
      <c r="G18" s="95"/>
    </row>
    <row r="19" spans="1:7" ht="27.75" customHeight="1" x14ac:dyDescent="0.3">
      <c r="A19" s="9" t="s">
        <v>541</v>
      </c>
      <c r="B19" s="102" t="s">
        <v>531</v>
      </c>
      <c r="C19" s="102"/>
      <c r="D19" s="102"/>
      <c r="E19" s="102"/>
      <c r="F19" s="102"/>
      <c r="G19" s="102"/>
    </row>
    <row r="20" spans="1:7" ht="27.75" customHeight="1" x14ac:dyDescent="0.3">
      <c r="A20" s="8" t="s">
        <v>542</v>
      </c>
      <c r="B20" s="101" t="s">
        <v>532</v>
      </c>
      <c r="C20" s="101"/>
      <c r="D20" s="101"/>
      <c r="E20" s="101"/>
      <c r="F20" s="101"/>
      <c r="G20" s="101"/>
    </row>
    <row r="21" spans="1:7" ht="27.75" customHeight="1" x14ac:dyDescent="0.3">
      <c r="A21" s="9" t="s">
        <v>543</v>
      </c>
      <c r="B21" s="102" t="s">
        <v>533</v>
      </c>
      <c r="C21" s="102"/>
      <c r="D21" s="102"/>
      <c r="E21" s="102"/>
      <c r="F21" s="102"/>
      <c r="G21" s="102"/>
    </row>
    <row r="22" spans="1:7" ht="27.75" customHeight="1" x14ac:dyDescent="0.3">
      <c r="A22" s="8" t="s">
        <v>544</v>
      </c>
      <c r="B22" s="101" t="s">
        <v>534</v>
      </c>
      <c r="C22" s="101"/>
      <c r="D22" s="101"/>
      <c r="E22" s="101"/>
      <c r="F22" s="101"/>
      <c r="G22" s="101"/>
    </row>
    <row r="23" spans="1:7" ht="27.75" customHeight="1" x14ac:dyDescent="0.3">
      <c r="A23" s="9" t="s">
        <v>545</v>
      </c>
      <c r="B23" s="102" t="s">
        <v>535</v>
      </c>
      <c r="C23" s="102"/>
      <c r="D23" s="102"/>
      <c r="E23" s="102"/>
      <c r="F23" s="102"/>
      <c r="G23" s="102"/>
    </row>
    <row r="24" spans="1:7" ht="27.75" customHeight="1" x14ac:dyDescent="0.3">
      <c r="A24" s="8" t="s">
        <v>546</v>
      </c>
      <c r="B24" s="101" t="s">
        <v>536</v>
      </c>
      <c r="C24" s="101"/>
      <c r="D24" s="101"/>
      <c r="E24" s="101"/>
      <c r="F24" s="101"/>
      <c r="G24" s="101"/>
    </row>
    <row r="25" spans="1:7" ht="27.75" customHeight="1" x14ac:dyDescent="0.3">
      <c r="A25" s="9" t="s">
        <v>547</v>
      </c>
      <c r="B25" s="102" t="s">
        <v>537</v>
      </c>
      <c r="C25" s="102"/>
      <c r="D25" s="102"/>
      <c r="E25" s="102"/>
      <c r="F25" s="102"/>
      <c r="G25" s="102"/>
    </row>
    <row r="26" spans="1:7" ht="27.75" customHeight="1" x14ac:dyDescent="0.3">
      <c r="A26" s="8" t="s">
        <v>548</v>
      </c>
      <c r="B26" s="101" t="s">
        <v>538</v>
      </c>
      <c r="C26" s="101"/>
      <c r="D26" s="101"/>
      <c r="E26" s="101"/>
      <c r="F26" s="101"/>
      <c r="G26" s="101"/>
    </row>
    <row r="29" spans="1:7" ht="54.75" customHeight="1" x14ac:dyDescent="0.3">
      <c r="A29" s="104" t="s">
        <v>539</v>
      </c>
      <c r="B29" s="104"/>
      <c r="C29" s="104"/>
      <c r="D29" s="104"/>
      <c r="E29" s="104"/>
      <c r="F29" s="104"/>
      <c r="G29" s="104"/>
    </row>
    <row r="30" spans="1:7" ht="9.75" customHeight="1" x14ac:dyDescent="0.3">
      <c r="A30" s="104"/>
      <c r="B30" s="104"/>
      <c r="C30" s="104"/>
      <c r="D30" s="104"/>
      <c r="E30" s="104"/>
      <c r="F30" s="104"/>
      <c r="G30" s="104"/>
    </row>
  </sheetData>
  <mergeCells count="12">
    <mergeCell ref="A1:G1"/>
    <mergeCell ref="A3:G3"/>
    <mergeCell ref="A18:G18"/>
    <mergeCell ref="B19:G19"/>
    <mergeCell ref="B20:G20"/>
    <mergeCell ref="B21:G21"/>
    <mergeCell ref="B22:G22"/>
    <mergeCell ref="B23:G23"/>
    <mergeCell ref="B24:G24"/>
    <mergeCell ref="B25:G25"/>
    <mergeCell ref="A29:G30"/>
    <mergeCell ref="B26:G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 Cover</vt:lpstr>
      <vt:lpstr>02 Industry</vt:lpstr>
      <vt:lpstr>03 Competitor</vt:lpstr>
      <vt:lpstr>04 Assumptions</vt:lpstr>
      <vt:lpstr>05 CapEx</vt:lpstr>
      <vt:lpstr>06 Financing</vt:lpstr>
      <vt:lpstr>07 P&amp;L</vt:lpstr>
      <vt:lpstr>08 Balance Sheet</vt:lpstr>
      <vt:lpstr>09 Cash Flow</vt:lpstr>
      <vt:lpstr>10 Cap Budget</vt:lpstr>
      <vt:lpstr>11 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ADARSHDEEP GUPTA - 70472200024</cp:lastModifiedBy>
  <cp:revision>0</cp:revision>
  <dcterms:created xsi:type="dcterms:W3CDTF">2026-04-08T13:59:06Z</dcterms:created>
  <dcterms:modified xsi:type="dcterms:W3CDTF">2026-04-10T17:21:25Z</dcterms:modified>
  <dc:language>en-US</dc:language>
</cp:coreProperties>
</file>